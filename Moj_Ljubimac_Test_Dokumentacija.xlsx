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gled" sheetId="1" state="visible" r:id="rId3"/>
    <sheet name="Test slučajevi" sheetId="2" state="visible" r:id="rId4"/>
    <sheet name="Pitanja i nejasnoće" sheetId="3" state="visible" r:id="rId5"/>
    <sheet name="Matrica pokrivenosti" sheetId="4" state="visible" r:id="rId6"/>
    <sheet name="Izvršene provere" sheetId="5" state="visible" r:id="rId7"/>
  </sheets>
  <definedNames>
    <definedName function="false" hidden="true" localSheetId="4" name="_xlnm._FilterDatabase" vbProcedure="false">'Izvršene provere'!$A$1:$G$10</definedName>
    <definedName function="false" hidden="true" localSheetId="2" name="_xlnm._FilterDatabase" vbProcedure="false">'Pitanja i nejasnoće'!$A$1:$G$9</definedName>
    <definedName function="false" hidden="false" localSheetId="1" name="_xlnm.Print_Titles" vbProcedure="false">'Test slučajevi'!$1:$1</definedName>
    <definedName function="false" hidden="true" localSheetId="1" name="_xlnm._FilterDatabase" vbProcedure="false">'Test slučajevi'!$A$1:$M$34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<sst xmlns="http://schemas.openxmlformats.org/spreadsheetml/2006/main" count="648" uniqueCount="359">
  <si>
    <t xml:space="preserve">Test dokumentacija: Moj Ljubimac (Web)</t>
  </si>
  <si>
    <t xml:space="preserve">Dizajn test slučajeva na osnovu zahteva (PRD) i početne provere okruženja</t>
  </si>
  <si>
    <t xml:space="preserve">Autor</t>
  </si>
  <si>
    <t xml:space="preserve">Jovana</t>
  </si>
  <si>
    <t xml:space="preserve">Datum</t>
  </si>
  <si>
    <t xml:space="preserve">29.10.2026.</t>
  </si>
  <si>
    <t xml:space="preserve">Verzija dokumenta</t>
  </si>
  <si>
    <t xml:space="preserve">1.0</t>
  </si>
  <si>
    <t xml:space="preserve">Aplikacija</t>
  </si>
  <si>
    <t xml:space="preserve">Moj Ljubimac: web aplikacija za zdravstveni karton kućnih ljubimaca (Next.js 16.4.2, TypeScript, Supabase)</t>
  </si>
  <si>
    <t xml:space="preserve">Stanje aplikacije</t>
  </si>
  <si>
    <t xml:space="preserve">Prema build planu (§3) završen je samo Step 01 (kostur projekta, 19.10.2026). Ekrani i funkcije još nisu implementirani.</t>
  </si>
  <si>
    <t xml:space="preserve">Obim</t>
  </si>
  <si>
    <t xml:space="preserve">Zahtevi FR-01 do FR-05 iz PRD-a (Epic 01, Pet Health Record), plus provera razvojnog okruženja.</t>
  </si>
  <si>
    <t xml:space="preserve">Pristup</t>
  </si>
  <si>
    <t xml:space="preserve">Testovi su dizajnirani pre implementacije na osnovu zahteva (Given/When/Then). Primenjene tehnike: testiranje na osnovu zahteva, negativno testiranje, granične vrednosti, analiza nejasnoća u zahtevima.</t>
  </si>
  <si>
    <t xml:space="preserve">Sažetak test slučajeva</t>
  </si>
  <si>
    <t xml:space="preserve">Ukupno test slučajeva</t>
  </si>
  <si>
    <t xml:space="preserve">Blokiran (funkcija nije implementirana)</t>
  </si>
  <si>
    <t xml:space="preserve">Prošao</t>
  </si>
  <si>
    <t xml:space="preserve">Pao</t>
  </si>
  <si>
    <t xml:space="preserve">Nije izvršen</t>
  </si>
  <si>
    <t xml:space="preserve">Prioritet P1 (kritičan)</t>
  </si>
  <si>
    <t xml:space="preserve">Prioritet P2 (važan)</t>
  </si>
  <si>
    <t xml:space="preserve">Prioritet P3 (manje važan)</t>
  </si>
  <si>
    <t xml:space="preserve">Pozitivni / Negativni / Granični</t>
  </si>
  <si>
    <t xml:space="preserve">Nalazi</t>
  </si>
  <si>
    <t xml:space="preserve">Otvorena pitanja o zahtevima</t>
  </si>
  <si>
    <t xml:space="preserve">Od toga visok rizik</t>
  </si>
  <si>
    <t xml:space="preserve">Izvršene provere okruženja: prošle</t>
  </si>
  <si>
    <t xml:space="preserve">Izvršene provere okruženja: pale</t>
  </si>
  <si>
    <t xml:space="preserve">Legenda</t>
  </si>
  <si>
    <t xml:space="preserve">Tip testa</t>
  </si>
  <si>
    <t xml:space="preserve">Pozitivan = očekivani tok. Negativan = neispravan unos ili zabranjena radnja. Granični = ivice vrednosti ili ponašanje koje PRD ne definiše.</t>
  </si>
  <si>
    <t xml:space="preserve">Prioritet</t>
  </si>
  <si>
    <t xml:space="preserve">P1 = osnovna funkcija ili pravilo poslovanja. P2 = važno. P3 = manje važno.</t>
  </si>
  <si>
    <t xml:space="preserve">Status</t>
  </si>
  <si>
    <t xml:space="preserve">Nije izvršen, Prošao, Pao, Blokiran. Blokiran znači da se test ne može izvršiti jer funkcija nije implementirana.</t>
  </si>
  <si>
    <t xml:space="preserve">Izvor očekivanja</t>
  </si>
  <si>
    <t xml:space="preserve">'PRD FR-xx' znači da je očekivani rezultat direktno iz zahteva. 'Pretpostavka testera' znači da PRD to ne navodi i očekivanje treba potvrditi.</t>
  </si>
  <si>
    <t xml:space="preserve">* Planirani korak</t>
  </si>
  <si>
    <t xml:space="preserve">Korak build plana u kojem se funkcija očekuje. Određen je po nazivima koraka u §3 build plana i nije potvrđen, pa ga treba proveriti.</t>
  </si>
  <si>
    <t xml:space="preserve">Žuta ćelija</t>
  </si>
  <si>
    <t xml:space="preserve">Ćelija koju treba urediti (autor). Ostalo se računa formulama iz drugih listova.</t>
  </si>
  <si>
    <t xml:space="preserve">Sadržaj radne sveske</t>
  </si>
  <si>
    <t xml:space="preserve">Test slučajevi</t>
  </si>
  <si>
    <t xml:space="preserve">Detaljni test slučajevi sa koracima, očekivanim rezultatom i izvorom.</t>
  </si>
  <si>
    <t xml:space="preserve">Pitanja i nejasnoće</t>
  </si>
  <si>
    <t xml:space="preserve">Nedostaci i nejasnoće u zahtevima, sa rizikom i predlogom.</t>
  </si>
  <si>
    <t xml:space="preserve">Matrica pokrivenosti</t>
  </si>
  <si>
    <t xml:space="preserve">Povezanost zahteva i testova (traceability).</t>
  </si>
  <si>
    <t xml:space="preserve">Izvršene provere</t>
  </si>
  <si>
    <t xml:space="preserve">Šta je već pokrenuto i proverano: lint, typecheck, test, razvojni server.</t>
  </si>
  <si>
    <t xml:space="preserve">ID</t>
  </si>
  <si>
    <t xml:space="preserve">Zahtev</t>
  </si>
  <si>
    <t xml:space="preserve">Funkcionalnost</t>
  </si>
  <si>
    <t xml:space="preserve">Naslov testa</t>
  </si>
  <si>
    <t xml:space="preserve">Tip</t>
  </si>
  <si>
    <t xml:space="preserve">Preduslov</t>
  </si>
  <si>
    <t xml:space="preserve">Koraci</t>
  </si>
  <si>
    <t xml:space="preserve">Očekivani rezultat</t>
  </si>
  <si>
    <t xml:space="preserve">Planirani korak*</t>
  </si>
  <si>
    <t xml:space="preserve">Napomena</t>
  </si>
  <si>
    <t xml:space="preserve">TC-001</t>
  </si>
  <si>
    <t xml:space="preserve">FR-01</t>
  </si>
  <si>
    <t xml:space="preserve">Kreiranje profila ljubimca</t>
  </si>
  <si>
    <t xml:space="preserve">Kreiranje ljubimca sa svim obaveznim poljima (Free korisnik)</t>
  </si>
  <si>
    <t xml:space="preserve">Pozitivan</t>
  </si>
  <si>
    <t xml:space="preserve">P1</t>
  </si>
  <si>
    <t xml:space="preserve">Prijavljen Pet Owner sa Free nalogom, bez aktivnog ljubimca.</t>
  </si>
  <si>
    <t xml:space="preserve">1. Otvori formu za novog ljubimca.
2. Unesi ime: Rex.
3. Izaberi vrstu: dog.
4. Izaberi pol.
5. Klikni Sačuvaj.</t>
  </si>
  <si>
    <t xml:space="preserve">Profil je sačuvan i ljubimac se prikazuje kao aktivan.</t>
  </si>
  <si>
    <t xml:space="preserve">PRD FR-01, kriterijum 1</t>
  </si>
  <si>
    <t xml:space="preserve">Step 13</t>
  </si>
  <si>
    <t xml:space="preserve">Blokiran</t>
  </si>
  <si>
    <t xml:space="preserve">Funkcija nije implementirana u aplikaciji.</t>
  </si>
  <si>
    <t xml:space="preserve">TC-002</t>
  </si>
  <si>
    <t xml:space="preserve">Kreiranje ljubimca sa svim poljima (obaveznim i opcionim)</t>
  </si>
  <si>
    <t xml:space="preserve">P2</t>
  </si>
  <si>
    <t xml:space="preserve">1. Otvori formu za novog ljubimca.
2. Popuni sva polja: ime, vrsta, rasa, pol, datum rođenja ili približna godina, boja/oznake, broj mikročipa, broj pasoša, steriliziran (yes/no/unknown), fotografija, 'moj veterinar' (ime i telefon), napomena.
3. Klikni Sačuvaj.
4. Otvori profil ljubimca.</t>
  </si>
  <si>
    <t xml:space="preserve">Sve unete vrednosti su sačuvane i tačno prikazane u profilu.</t>
  </si>
  <si>
    <t xml:space="preserve">PRD FR-01, lista polja</t>
  </si>
  <si>
    <t xml:space="preserve">TC-003</t>
  </si>
  <si>
    <t xml:space="preserve">Blokada kreiranja drugog ljubimca za Free korisnika</t>
  </si>
  <si>
    <t xml:space="preserve">Negativan</t>
  </si>
  <si>
    <t xml:space="preserve">Prijavljen Pet Owner sa Free nalogom koji već ima jednog aktivnog ljubimca.</t>
  </si>
  <si>
    <t xml:space="preserve">1. Otvori formu za novog ljubimca.
2. Popuni sva obavezna polja.
3. Klikni Sačuvaj.</t>
  </si>
  <si>
    <t xml:space="preserve">Kreiranje je blokirano, drugi ljubimac nije sačuvan, prikazana je Premium ponuda.</t>
  </si>
  <si>
    <t xml:space="preserve">PRD FR-01, kriterijum 2</t>
  </si>
  <si>
    <t xml:space="preserve">Step 13, 23</t>
  </si>
  <si>
    <t xml:space="preserve">Funkcija nije implementirana u aplikaciji. Premium ponuda: Step 23.</t>
  </si>
  <si>
    <t xml:space="preserve">TC-004</t>
  </si>
  <si>
    <t xml:space="preserve">Vrsta 'other' bez slobodnog teksta</t>
  </si>
  <si>
    <t xml:space="preserve">1. Otvori formu za novog ljubimca.
2. Unesi ime i pol.
3. Izaberi vrstu 'other'.
4. Ostavi polje za slobodan tekst vrste prazno.
5. Klikni Sačuvaj.</t>
  </si>
  <si>
    <t xml:space="preserve">Čuvanje je blokirano i prikazana je poruka.</t>
  </si>
  <si>
    <t xml:space="preserve">PRD FR-01, kriterijum 3</t>
  </si>
  <si>
    <t xml:space="preserve">Funkcija nije implementirana u aplikaciji. Tačan tekst poruke nije definisan u PRD-u.</t>
  </si>
  <si>
    <t xml:space="preserve">TC-005</t>
  </si>
  <si>
    <t xml:space="preserve">Vrsta 'other' sa unetim slobodnim tekstom</t>
  </si>
  <si>
    <t xml:space="preserve">1. Otvori formu za novog ljubimca.
2. Unesi ime i pol.
3. Izaberi vrstu 'other'.
4. U slobodan tekst unesi: Gekon.
5. Klikni Sačuvaj.</t>
  </si>
  <si>
    <t xml:space="preserve">Profil je sačuvan; vrsta se prikazuje kao uneti tekst.</t>
  </si>
  <si>
    <t xml:space="preserve">PRD FR-01, polje vrste</t>
  </si>
  <si>
    <t xml:space="preserve">Funkcija nije implementirana u aplikaciji. Način prikaza vrste nije precizno definisan.</t>
  </si>
  <si>
    <t xml:space="preserve">TC-006</t>
  </si>
  <si>
    <t xml:space="preserve">Obavezno polje 'ime' prazno</t>
  </si>
  <si>
    <t xml:space="preserve">1. Otvori formu za novog ljubimca.
2. Ostavi ime prazno.
3. Izaberi vrstu i pol.
4. Klikni Sačuvaj.</t>
  </si>
  <si>
    <t xml:space="preserve">Čuvanje je blokirano; polje 'ime' je označeno kao obavezno.</t>
  </si>
  <si>
    <t xml:space="preserve">PRD FR-01, obavezna polja (*)</t>
  </si>
  <si>
    <t xml:space="preserve">Funkcija nije implementirana u aplikaciji. Pretpostavka: obavezna polja su ime, vrsta i pol (označena * u PRD-u).</t>
  </si>
  <si>
    <t xml:space="preserve">TC-007</t>
  </si>
  <si>
    <t xml:space="preserve">Obavezno polje 'vrsta' nije izabrano</t>
  </si>
  <si>
    <t xml:space="preserve">1. Otvori formu za novog ljubimca.
2. Unesi ime i izaberi pol.
3. Ne biraj vrstu.
4. Klikni Sačuvaj.</t>
  </si>
  <si>
    <t xml:space="preserve">Čuvanje je blokirano; polje 'vrsta' je označeno kao obavezno.</t>
  </si>
  <si>
    <t xml:space="preserve">TC-008</t>
  </si>
  <si>
    <t xml:space="preserve">Obavezno polje 'pol' nije izabrano</t>
  </si>
  <si>
    <t xml:space="preserve">1. Otvori formu za novog ljubimca.
2. Unesi ime i izaberi vrstu.
3. Ne biraj pol.
4. Klikni Sačuvaj.</t>
  </si>
  <si>
    <t xml:space="preserve">Čuvanje je blokirano; polje 'pol' je označeno kao obavezno.</t>
  </si>
  <si>
    <t xml:space="preserve">TC-009</t>
  </si>
  <si>
    <t xml:space="preserve">Ponuđene vrste odgovaraju specifikaciji</t>
  </si>
  <si>
    <t xml:space="preserve">P3</t>
  </si>
  <si>
    <t xml:space="preserve">1. Otvori formu za novog ljubimca.
2. Otvori listu vrsta.
3. Uporedi sa specifikacijom.</t>
  </si>
  <si>
    <t xml:space="preserve">Lista sadrži tačno: dog, cat, rabbit, hamster, guinea pig, chinchilla, ferret, bird, fish, turtle, lizard, snake, other.</t>
  </si>
  <si>
    <t xml:space="preserve">PRD FR-01, lista vrsta</t>
  </si>
  <si>
    <t xml:space="preserve">TC-010</t>
  </si>
  <si>
    <t xml:space="preserve">Opcije za 'steriliziran' (yes / no / unknown)</t>
  </si>
  <si>
    <t xml:space="preserve">1. Otvori formu za novog ljubimca.
2. Proveri ponuđene opcije za polje spayed/neutered.
3. Izaberi svaku opciju posebno i sačuvaj profil.</t>
  </si>
  <si>
    <t xml:space="preserve">Dostupne su opcije yes, no i unknown; izabrana vrednost se čuva i prikazuje.</t>
  </si>
  <si>
    <t xml:space="preserve">TC-011</t>
  </si>
  <si>
    <t xml:space="preserve">Datum rođenja u budućnosti</t>
  </si>
  <si>
    <t xml:space="preserve">Granični</t>
  </si>
  <si>
    <t xml:space="preserve">1. Otvori formu za novog ljubimca.
2. Popuni obavezna polja.
3. Za datum rođenja unesi datum u budućnosti.
4. Klikni Sačuvaj.</t>
  </si>
  <si>
    <t xml:space="preserve">Nije definisano u PRD-u. Očekivano ponašanje treba potvrditi (vidi Q-03). Predlog: unos se odbija uz poruku.</t>
  </si>
  <si>
    <t xml:space="preserve">Pretpostavka testera</t>
  </si>
  <si>
    <t xml:space="preserve">Funkcija nije implementirana u aplikaciji. Vidi Q-03.</t>
  </si>
  <si>
    <t xml:space="preserve">TC-012</t>
  </si>
  <si>
    <t xml:space="preserve">Specijalni karakteri i dijakritici u imenu</t>
  </si>
  <si>
    <t xml:space="preserve">1. Otvori formu za novog ljubimca.
2. Za ime unesi: Čika Šnajder-Đurđić.
3. Izaberi vrstu i pol, sačuvaj.
4. Otvori profil.</t>
  </si>
  <si>
    <t xml:space="preserve">Ime je sačuvano i prikazano tačno, uključujući č, ć, š, đ, ž i crticu.</t>
  </si>
  <si>
    <t xml:space="preserve">Funkcija nije implementirana u aplikaciji. Maksimalna dužina imena nije definisana (vidi Q-03).</t>
  </si>
  <si>
    <t xml:space="preserve">TC-013</t>
  </si>
  <si>
    <t xml:space="preserve">FR-02</t>
  </si>
  <si>
    <t xml:space="preserve">Izmena profila ljubimca</t>
  </si>
  <si>
    <t xml:space="preserve">Izmena polja i prikaz nove vrednosti svuda</t>
  </si>
  <si>
    <t xml:space="preserve">Prijavljen Pet Owner; postoji bar jedan aktivan ljubimac.</t>
  </si>
  <si>
    <t xml:space="preserve">1. Otvori profil ljubimca i izaberi izmenu.
2. Promeni polje (npr. ime iz Rex u Max).
3. Klikni Sačuvaj.
4. Proveri svaki ekran na kojem se ljubimac prikazuje (lista ljubimaca, profil, istorija težine, vakcinacije).</t>
  </si>
  <si>
    <t xml:space="preserve">Nova vrednost je prikazana na svim mestima gde se ljubimac pojavljuje.</t>
  </si>
  <si>
    <t xml:space="preserve">PRD FR-02, kriterijum 1</t>
  </si>
  <si>
    <t xml:space="preserve">TC-014</t>
  </si>
  <si>
    <t xml:space="preserve">Izmena obaveznog polja u prazno</t>
  </si>
  <si>
    <t xml:space="preserve">1. Otvori izmenu profila.
2. Obriši vrednost u polju 'ime'.
3. Klikni Sačuvaj.</t>
  </si>
  <si>
    <t xml:space="preserve">Čuvanje je blokirano; ostaje prethodna vrednost.</t>
  </si>
  <si>
    <t xml:space="preserve">Pretpostavka testera (isto pravilo kao FR-01)</t>
  </si>
  <si>
    <t xml:space="preserve">Funkcija nije implementirana u aplikaciji. FR-02 ne pominje validaciju pri izmeni.</t>
  </si>
  <si>
    <t xml:space="preserve">TC-015</t>
  </si>
  <si>
    <t xml:space="preserve">Odustajanje od izmene bez čuvanja</t>
  </si>
  <si>
    <t xml:space="preserve">1. Otvori izmenu profila.
2. Promeni ime.
3. Napusti formu bez čuvanja (Otkaži ili nazad).
4. Otvori profil.</t>
  </si>
  <si>
    <t xml:space="preserve">Prethodne vrednosti su nepromenjene.</t>
  </si>
  <si>
    <t xml:space="preserve">TC-016</t>
  </si>
  <si>
    <t xml:space="preserve">FR-03</t>
  </si>
  <si>
    <t xml:space="preserve">Jedinica težine po ljubimcu</t>
  </si>
  <si>
    <t xml:space="preserve">Postavljanje jedinice težine na grame</t>
  </si>
  <si>
    <t xml:space="preserve">1. Otvori podešavanje težine za ljubimca.
2. Postavi jedinicu na grame.
3. Unesi unos težine: 450.
4. Otvori istoriju težine.</t>
  </si>
  <si>
    <t xml:space="preserve">Unos se prima u gramima i prikazuje u gramima.</t>
  </si>
  <si>
    <t xml:space="preserve">PRD FR-03, kriterijum 1</t>
  </si>
  <si>
    <t xml:space="preserve">Step 13–14</t>
  </si>
  <si>
    <t xml:space="preserve">TC-017</t>
  </si>
  <si>
    <t xml:space="preserve">Jedinica težine je nezavisna po ljubimcu</t>
  </si>
  <si>
    <t xml:space="preserve">Premium korisnik sa dva aktivna ljubimca (Free ograničava na jednog).</t>
  </si>
  <si>
    <t xml:space="preserve">1. Za ljubimca A postavi jedinicu kg.
2. Za ljubimca B postavi grame.
3. Unesi težinu za oba.
4. Uporedi prikaz.</t>
  </si>
  <si>
    <t xml:space="preserve">Svaki ljubimac prikazuje težinu u svojoj jedinici.</t>
  </si>
  <si>
    <t xml:space="preserve">PRD FR-03, naslov 'per pet'</t>
  </si>
  <si>
    <t xml:space="preserve">Funkcija nije implementirana u aplikaciji. Preduslov Premium naloga proizilazi iz FR-01 (Free = jedan aktivan ljubimac).</t>
  </si>
  <si>
    <t xml:space="preserve">TC-018</t>
  </si>
  <si>
    <t xml:space="preserve">Promena jedinice kada već postoje unosi</t>
  </si>
  <si>
    <t xml:space="preserve">Ljubimac ima bar dva unosa težine u kilogramima.</t>
  </si>
  <si>
    <t xml:space="preserve">1. Promeni jedinicu iz kg u grame.
2. Otvori istoriju težine.
3. Proveri vrednosti postojećih unosa.</t>
  </si>
  <si>
    <t xml:space="preserve">Nije definisano u PRD-u (konverzija ili samo promena oznake?). Vidi Q-02. Neprihvatljivo: vrednosti ostaju iste, a jedinica se promeni (npr. 4 kg postane 4 g).</t>
  </si>
  <si>
    <t xml:space="preserve">Funkcija nije implementirana u aplikaciji. Vidi Q-02.</t>
  </si>
  <si>
    <t xml:space="preserve">TC-019</t>
  </si>
  <si>
    <t xml:space="preserve">FR-04</t>
  </si>
  <si>
    <t xml:space="preserve">Beleženje težine i istorija</t>
  </si>
  <si>
    <t xml:space="preserve">Istorija prikazuje unose po datumu kao trend</t>
  </si>
  <si>
    <t xml:space="preserve">1. Dodaj unos težine: 01.10., 4.2.
2. Dodaj unos težine: 08.10., 4.4.
3. Dodaj unos težine: 15.10., 4.5.
4. Otvori istoriju težine.</t>
  </si>
  <si>
    <t xml:space="preserve">Svi unosi su prikazani po redosledu datuma kao trend tokom vremena.</t>
  </si>
  <si>
    <t xml:space="preserve">PRD FR-04, kriterijum 1</t>
  </si>
  <si>
    <t xml:space="preserve">Step 14</t>
  </si>
  <si>
    <t xml:space="preserve">Funkcija nije implementirana u aplikaciji. Smer sortiranja nije definisan (vidi Q-01).</t>
  </si>
  <si>
    <t xml:space="preserve">TC-020</t>
  </si>
  <si>
    <t xml:space="preserve">Unosi dodati van hronološkog redosleda</t>
  </si>
  <si>
    <t xml:space="preserve">1. Dodaj unos sa datumom 15.10.
2. Dodaj unos sa datumom 01.10.
3. Dodaj unos sa datumom 08.10.
4. Otvori istoriju težine.</t>
  </si>
  <si>
    <t xml:space="preserve">Unosi su poređani po datumu, a ne po redosledu unosa.</t>
  </si>
  <si>
    <t xml:space="preserve">TC-021</t>
  </si>
  <si>
    <t xml:space="preserve">Unos težine bez datuma</t>
  </si>
  <si>
    <t xml:space="preserve">1. Otvori formu za unos težine.
2. Unesi vrednost, ostavi datum prazan.
3. Klikni Sačuvaj.</t>
  </si>
  <si>
    <t xml:space="preserve">Čuvanje je blokirano; datum je označen kao obavezan.</t>
  </si>
  <si>
    <t xml:space="preserve">PRD FR-04, obavezna polja (*)</t>
  </si>
  <si>
    <t xml:space="preserve">TC-022</t>
  </si>
  <si>
    <t xml:space="preserve">Unos težine bez vrednosti</t>
  </si>
  <si>
    <t xml:space="preserve">1. Otvori formu za unos težine.
2. Unesi datum, ostavi vrednost praznu.
3. Klikni Sačuvaj.</t>
  </si>
  <si>
    <t xml:space="preserve">Čuvanje je blokirano; vrednost je označena kao obavezna.</t>
  </si>
  <si>
    <t xml:space="preserve">TC-023</t>
  </si>
  <si>
    <t xml:space="preserve">Unos težine bez napomene</t>
  </si>
  <si>
    <t xml:space="preserve">1. Unesi datum i vrednost.
2. Ostavi napomenu praznu.
3. Klikni Sačuvaj.</t>
  </si>
  <si>
    <t xml:space="preserve">Unos je sačuvan; napomena je opciona.</t>
  </si>
  <si>
    <t xml:space="preserve">PRD FR-04, polje napomene</t>
  </si>
  <si>
    <t xml:space="preserve">TC-024</t>
  </si>
  <si>
    <t xml:space="preserve">Neispravne vrednosti težine (0, negativna, tekst)</t>
  </si>
  <si>
    <t xml:space="preserve">1. Pokušaj unos sa vrednošću 0.
2. Pokušaj unos sa vrednošću -3.
3. Pokušaj unos sa vrednošću 'abc'.</t>
  </si>
  <si>
    <t xml:space="preserve">Nije definisano u PRD-u. Vidi Q-05. Predlog: sva tri unosa se odbijaju uz poruku.</t>
  </si>
  <si>
    <t xml:space="preserve">Funkcija nije implementirana u aplikaciji. Vidi Q-05.</t>
  </si>
  <si>
    <t xml:space="preserve">TC-025</t>
  </si>
  <si>
    <t xml:space="preserve">Istorija sa samo jednim unosom</t>
  </si>
  <si>
    <t xml:space="preserve">1. Dodaj tačno jedan unos težine.
2. Otvori istoriju težine.</t>
  </si>
  <si>
    <t xml:space="preserve">Nije definisano (PRD navodi slučaj 2 ili više unosa). Predlog: prikazuje se jedan unos bez greške.</t>
  </si>
  <si>
    <t xml:space="preserve">TC-026</t>
  </si>
  <si>
    <t xml:space="preserve">FR-05</t>
  </si>
  <si>
    <t xml:space="preserve">Beleženje vakcinacije</t>
  </si>
  <si>
    <t xml:space="preserve">Vakcinacija sa datumom sledeće doze kreira podsetnik</t>
  </si>
  <si>
    <t xml:space="preserve">1. Otvori formu za vakcinaciju.
2. Unesi naziv/tip vakcine i datum davanja.
3. Unesi datum sledeće doze.
4. Klikni Sačuvaj.
5. Otvori listu podsetnika.</t>
  </si>
  <si>
    <t xml:space="preserve">Vakcinacija je sačuvana i automatski je kreiran podsetnik (FR-20).</t>
  </si>
  <si>
    <t xml:space="preserve">PRD FR-05, kriterijum 1</t>
  </si>
  <si>
    <t xml:space="preserve">Step 14, 17–19</t>
  </si>
  <si>
    <t xml:space="preserve">Funkcija nije implementirana u aplikaciji. Zavisi i od FR-20 (podsetnici).</t>
  </si>
  <si>
    <t xml:space="preserve">TC-027</t>
  </si>
  <si>
    <t xml:space="preserve">Vakcinacija bez datuma sledeće doze</t>
  </si>
  <si>
    <t xml:space="preserve">1. Unesi naziv/tip vakcine i datum davanja.
2. Ostavi datum sledeće doze prazan.
3. Klikni Sačuvaj.
4. Otvori listu podsetnika.</t>
  </si>
  <si>
    <t xml:space="preserve">Vakcinacija je sačuvana; podsetnik nije kreiran.</t>
  </si>
  <si>
    <t xml:space="preserve">Pretpostavka testera (proizilazi iz kriterijuma 1)</t>
  </si>
  <si>
    <t xml:space="preserve">TC-028</t>
  </si>
  <si>
    <t xml:space="preserve">Vakcinacija bez naziva/tipa vakcine</t>
  </si>
  <si>
    <t xml:space="preserve">1. Ostavi naziv/tip vakcine prazan.
2. Unesi datum davanja.
3. Klikni Sačuvaj.</t>
  </si>
  <si>
    <t xml:space="preserve">Čuvanje je blokirano; polje je označeno kao obavezno.</t>
  </si>
  <si>
    <t xml:space="preserve">PRD FR-05, obavezna polja (*)</t>
  </si>
  <si>
    <t xml:space="preserve">TC-029</t>
  </si>
  <si>
    <t xml:space="preserve">Vakcinacija bez datuma davanja</t>
  </si>
  <si>
    <t xml:space="preserve">1. Unesi naziv/tip vakcine.
2. Ostavi datum davanja prazan.
3. Klikni Sačuvaj.</t>
  </si>
  <si>
    <t xml:space="preserve">TC-030</t>
  </si>
  <si>
    <t xml:space="preserve">Izmena vakcinacije ažurira povezani podsetnik</t>
  </si>
  <si>
    <t xml:space="preserve">Postoji vakcinacija sa datumom sledeće doze i povezanim podsetnikom.</t>
  </si>
  <si>
    <t xml:space="preserve">1. Otvori vakcinaciju i izaberi izmenu.
2. Promeni datum sledeće doze.
3. Klikni Sačuvaj.
4. Otvori listu podsetnika.</t>
  </si>
  <si>
    <t xml:space="preserve">Povezani podsetnik je ažuriran na novi datum.</t>
  </si>
  <si>
    <t xml:space="preserve">PRD FR-05, kriterijum 2</t>
  </si>
  <si>
    <t xml:space="preserve">Funkcija nije implementirana u aplikaciji. Formulacija 'ažurira ili uklanja' je nejasna (vidi Q-04).</t>
  </si>
  <si>
    <t xml:space="preserve">TC-031</t>
  </si>
  <si>
    <t xml:space="preserve">Brisanje vakcinacije uklanja povezani podsetnik</t>
  </si>
  <si>
    <t xml:space="preserve">1. Obriši vakcinaciju.
2. Potvrdi brisanje.
3. Otvori listu podsetnika.</t>
  </si>
  <si>
    <t xml:space="preserve">Povezani podsetnik je uklonjen.</t>
  </si>
  <si>
    <t xml:space="preserve">Funkcija nije implementirana u aplikaciji. Vidi Q-04.</t>
  </si>
  <si>
    <t xml:space="preserve">TC-032</t>
  </si>
  <si>
    <t xml:space="preserve">Vakcinacija sa svim opcionim poljima</t>
  </si>
  <si>
    <t xml:space="preserve">1. Popuni naziv, datum davanja, datum sledeće doze, veterinara/kliniku, broj serije i napomenu.
2. Klikni Sačuvaj.
3. Otvori vakcinaciju.</t>
  </si>
  <si>
    <t xml:space="preserve">Sve vrednosti su sačuvane i tačno prikazane.</t>
  </si>
  <si>
    <t xml:space="preserve">PRD FR-05, lista polja</t>
  </si>
  <si>
    <t xml:space="preserve">TC-033</t>
  </si>
  <si>
    <t xml:space="preserve">Datum sledeće doze pre datuma davanja</t>
  </si>
  <si>
    <t xml:space="preserve">1. Unesi datum davanja 15.10.
2. Unesi datum sledeće doze 01.10.
3. Klikni Sačuvaj.</t>
  </si>
  <si>
    <t xml:space="preserve">Nije definisano u PRD-u. Vidi Q-08. Predlog: unos se odbija.</t>
  </si>
  <si>
    <t xml:space="preserve">Funkcija nije implementirana u aplikaciji. Vidi Q-08.</t>
  </si>
  <si>
    <t xml:space="preserve">Nejasnoća / nedostatak u PRD-u</t>
  </si>
  <si>
    <t xml:space="preserve">Zašto je važno (rizik)</t>
  </si>
  <si>
    <t xml:space="preserve">Rizik</t>
  </si>
  <si>
    <t xml:space="preserve">Predlog pojašnjenja</t>
  </si>
  <si>
    <t xml:space="preserve">Povezani testovi</t>
  </si>
  <si>
    <t xml:space="preserve">Q-01</t>
  </si>
  <si>
    <t xml:space="preserve">Zahtev kaže da se unosi prikazuju 'u redosledu datuma', ali ne navodi smer (od najstarijeg ili od najnovijeg).</t>
  </si>
  <si>
    <t xml:space="preserve">Dva razvojna tima mogu implementirati suprotno, a oba bi ispunila zahtev. Test ne može da ima jednoznačno očekivanje.</t>
  </si>
  <si>
    <t xml:space="preserve">Nizak</t>
  </si>
  <si>
    <t xml:space="preserve">Navesti smer sortiranja (npr. rastuće po datumu za prikaz trenda).</t>
  </si>
  <si>
    <t xml:space="preserve">Q-02</t>
  </si>
  <si>
    <t xml:space="preserve">Nije definisano šta se dešava sa već unetim težinama kada se promeni jedinica (kg u grame).</t>
  </si>
  <si>
    <t xml:space="preserve">Moguć gubitak ili pogrešna interpretacija podataka: vrednost 4 postaje 4 g umesto 4000 g. Podaci o zdravlju postaju netačni.</t>
  </si>
  <si>
    <t xml:space="preserve">Visok</t>
  </si>
  <si>
    <t xml:space="preserve">Definisati: konverzija postojećih unosa, ili zabrana promene dok postoje unosi, ili čuvanje jedinice uz svaki unos.</t>
  </si>
  <si>
    <t xml:space="preserve">Q-03</t>
  </si>
  <si>
    <t xml:space="preserve">Nema pravila validacije: datum rođenja u budućnosti, maksimalna dužina imena, format i jedinstvenost broja mikročipa i pasoša, format telefona veterinara.</t>
  </si>
  <si>
    <t xml:space="preserve">Bez pravila ne mogu se napisati granični testovi, a u bazu mogu ući neispravni podaci.</t>
  </si>
  <si>
    <t xml:space="preserve">Srednji</t>
  </si>
  <si>
    <t xml:space="preserve">Dodati tabelu validacija po polju (tip, obaveznost, min/max, format).</t>
  </si>
  <si>
    <t xml:space="preserve">TC-011, TC-012</t>
  </si>
  <si>
    <t xml:space="preserve">Q-04</t>
  </si>
  <si>
    <t xml:space="preserve">Kriterijum kaže da se povezani podsetnik 'ažurira ili uklanja' pri izmeni ili brisanju vakcinacije, ali ne navodi kada se šta dešava.</t>
  </si>
  <si>
    <t xml:space="preserve">Nejasno je da li izmena datuma ažurira podsetnik, a brisanje ga uklanja. Takođe: šta ako se pri izmeni obriše datum sledeće doze.</t>
  </si>
  <si>
    <t xml:space="preserve">Razdvojiti pravila: izmena datuma menja podsetnik, brisanje vakcinacije uklanja podsetnik, brisanje datuma sledeće doze uklanja podsetnik.</t>
  </si>
  <si>
    <t xml:space="preserve">TC-030, TC-031</t>
  </si>
  <si>
    <t xml:space="preserve">Q-05</t>
  </si>
  <si>
    <t xml:space="preserve">Nema pravila za vrednost težine: nula, negativna vrednost, decimale, najveća dozvoljena vrednost, odnos prema izabranoj jedinici.</t>
  </si>
  <si>
    <t xml:space="preserve">Neispravni unosi kvare grafikon trenda. Razlika između ptice (grami) i psa (kg) traži različite granice.</t>
  </si>
  <si>
    <t xml:space="preserve">Definisati dozvoljeni opseg i broj decimala po jedinici.</t>
  </si>
  <si>
    <t xml:space="preserve">Q-06</t>
  </si>
  <si>
    <t xml:space="preserve">Pravilo 'Free korisnik sa jednim aktivnim ljubimcem' ne definiše šta se računa kao aktivan (npr. ljubimac u memorijalnom stanju ili obrisan).</t>
  </si>
  <si>
    <t xml:space="preserve">Moguće zaobilaženje ograničenja ili nepravedno blokiranje Free korisnika.</t>
  </si>
  <si>
    <t xml:space="preserve">Navesti sva stanja ljubimca i koja se računaju u limit.</t>
  </si>
  <si>
    <t xml:space="preserve">Q-07</t>
  </si>
  <si>
    <t xml:space="preserve">Za polje 'moj veterinar' (ime i telefon) nije jasno da li su oba podatka obavezna zajedno i u kom formatu.</t>
  </si>
  <si>
    <t xml:space="preserve">Neispravni telefoni, nemogućnost pozivanja iz aplikacije.</t>
  </si>
  <si>
    <t xml:space="preserve">Definisati obaveznost i format (npr. međunarodni format).</t>
  </si>
  <si>
    <t xml:space="preserve">Q-08</t>
  </si>
  <si>
    <t xml:space="preserve">Nije definisano da li datum sledeće doze sme da bude pre datuma davanja.</t>
  </si>
  <si>
    <t xml:space="preserve">Nelogičan podsetnik u prošlosti, odmah dospeo.</t>
  </si>
  <si>
    <t xml:space="preserve">Dodati validaciju: sledeća doza mora biti posle datuma davanja.</t>
  </si>
  <si>
    <t xml:space="preserve">Naziv zahteva</t>
  </si>
  <si>
    <t xml:space="preserve">Ukupno testova</t>
  </si>
  <si>
    <t xml:space="preserve">Pozitivni</t>
  </si>
  <si>
    <t xml:space="preserve">Negativni</t>
  </si>
  <si>
    <t xml:space="preserve">Otvorena pitanja</t>
  </si>
  <si>
    <t xml:space="preserve">Ukupno</t>
  </si>
  <si>
    <t xml:space="preserve">Napomena: pokriveni su zahtevi FR-01 do FR-05 iz PRD-a (ukupno 60 zahteva, FR-01 do FR-60). Ostali zahtevi nisu obrađeni u ovoj verziji.</t>
  </si>
  <si>
    <t xml:space="preserve">Brojevi se računaju formulama iz lista 'Test slučajevi' i 'Pitanja i nejasnoće'.</t>
  </si>
  <si>
    <t xml:space="preserve">Provera</t>
  </si>
  <si>
    <t xml:space="preserve">Komanda / akcija</t>
  </si>
  <si>
    <t xml:space="preserve">Rezultat</t>
  </si>
  <si>
    <t xml:space="preserve">Šta je uočeno</t>
  </si>
  <si>
    <t xml:space="preserve">Zaključak i preporuka</t>
  </si>
  <si>
    <t xml:space="preserve">E-01</t>
  </si>
  <si>
    <t xml:space="preserve">Statička analiza koda (lint)</t>
  </si>
  <si>
    <t xml:space="preserve">npm run lint (eslint .)</t>
  </si>
  <si>
    <t xml:space="preserve">Završeno bez ispisanih grešaka i upozorenja.</t>
  </si>
  <si>
    <t xml:space="preserve">Bez nalaza.</t>
  </si>
  <si>
    <t xml:space="preserve">E-02</t>
  </si>
  <si>
    <t xml:space="preserve">Provera tipova (typecheck)</t>
  </si>
  <si>
    <t xml:space="preserve">npm run typecheck (tsc --noEmit)</t>
  </si>
  <si>
    <t xml:space="preserve">Završeno bez grešaka.</t>
  </si>
  <si>
    <t xml:space="preserve">E-03</t>
  </si>
  <si>
    <t xml:space="preserve">Jedinični testovi</t>
  </si>
  <si>
    <t xml:space="preserve">npm test (vitest run, v5.0.5)</t>
  </si>
  <si>
    <t xml:space="preserve">Poruka: 'No test files found, exiting with code 1'. Vitest traži fajlove po šablonu tests/**/*.test.{ts,tsx}, a takvih fajlova nema.</t>
  </si>
  <si>
    <t xml:space="preserve">Očekivano posle Step 01 (testovi se dodaju u narednim koracima). Ipak, prazan skup testova vraća exit code 1 i pokvario bi CI pipeline. Preporuka: dodati bar jedan smoke test ili opciju passWithNoTests.</t>
  </si>
  <si>
    <t xml:space="preserve">E-04</t>
  </si>
  <si>
    <t xml:space="preserve">Upozorenje o konfiguraciji Vitest-a</t>
  </si>
  <si>
    <t xml:space="preserve">npm test</t>
  </si>
  <si>
    <t xml:space="preserve">Upozorenje: vitest.config.ts koristi ESM sintaksu, a učitava se kao CommonJS (package.json nema "type": "module").</t>
  </si>
  <si>
    <t xml:space="preserve">Nizak prioritet, nije greška. Rešenje: preimenovati u vitest.config.mjs ili dodati "type": "module" u package.json (proveriti uticaj na ostale konfiguracione fajlove).</t>
  </si>
  <si>
    <t xml:space="preserve">E-05</t>
  </si>
  <si>
    <t xml:space="preserve">Pokretanje razvojnog servera</t>
  </si>
  <si>
    <t xml:space="preserve">npm run dev (Next.js 16.4.2, Turbopack)</t>
  </si>
  <si>
    <t xml:space="preserve">Server je pokrenut: 'Ready in 616ms', adresa http://localhost:3000.</t>
  </si>
  <si>
    <t xml:space="preserve">27.10.2026.</t>
  </si>
  <si>
    <t xml:space="preserve">E-06</t>
  </si>
  <si>
    <t xml:space="preserve">Početna stranica pre dodavanja page.tsx</t>
  </si>
  <si>
    <t xml:space="preserve">GET /</t>
  </si>
  <si>
    <t xml:space="preserve">Odgovor 404. U folderu app nema page.tsx; (public) sadrži samo .gitkeep.</t>
  </si>
  <si>
    <t xml:space="preserve">Očekivano: samo Step 01 je završen po build planu. Početne stranice nema dok se ne implementiraju koraci sa ekranima.</t>
  </si>
  <si>
    <t xml:space="preserve">E-07</t>
  </si>
  <si>
    <t xml:space="preserve">Početna stranica nakon dodavanja probnog page.tsx</t>
  </si>
  <si>
    <t xml:space="preserve">Otvaranje http://localhost:3000</t>
  </si>
  <si>
    <t xml:space="preserve">Stranica se učitava. Korišćen je probni page.tsx sa naslovom koji je dodao tester (nije deo projekta).</t>
  </si>
  <si>
    <t xml:space="preserve">27–29.10.2026.</t>
  </si>
  <si>
    <t xml:space="preserve">Potvrđuje da je razvojno okruženje ispravno. Probni fajl ukloniti pre bilo kakvog commit-a.</t>
  </si>
  <si>
    <t xml:space="preserve">E-08</t>
  </si>
  <si>
    <t xml:space="preserve">Stranica za prijavu</t>
  </si>
  <si>
    <t xml:space="preserve">GET /login</t>
  </si>
  <si>
    <t xml:space="preserve">Očekivano ponašanje</t>
  </si>
  <si>
    <t xml:space="preserve">Odgovor 404.</t>
  </si>
  <si>
    <t xml:space="preserve">Ne računa se kao bug. Autentifikacija je Step 11 i nije implementirana.</t>
  </si>
  <si>
    <t xml:space="preserve">E-09</t>
  </si>
  <si>
    <t xml:space="preserve">Rad projekta u OneDrive folderu</t>
  </si>
  <si>
    <t xml:space="preserve">Posmatranje loga razvojnog servera</t>
  </si>
  <si>
    <t xml:space="preserve">Turbopack javlja: 'seen frequent file updates and is waiting for the filesystem to settle'. OneDrive sinhronizuje node_modules i .next.</t>
  </si>
  <si>
    <t xml:space="preserve">Rizik za stabilnost i brzinu. Preporuka: držati projekat van OneDrive-a (npr. C:\projekti).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</si>
</sst>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E2EFDA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 t="s">
        <v>5</v>
      </c>
    </row>
    <row r="6" customFormat="false" ht="15" hidden="false" customHeight="false" outlineLevel="0" collapsed="false">
      <c r="A6" s="3" t="s">
        <v>6</v>
      </c>
      <c r="B6" s="5" t="s">
        <v>7</v>
      </c>
    </row>
    <row r="7" customFormat="false" ht="23.85" hidden="false" customHeight="false" outlineLevel="0" collapsed="false">
      <c r="A7" s="3" t="s">
        <v>8</v>
      </c>
      <c r="B7" s="5" t="s">
        <v>9</v>
      </c>
    </row>
    <row r="8" customFormat="false" ht="23.85" hidden="false" customHeight="false" outlineLevel="0" collapsed="false">
      <c r="A8" s="3" t="s">
        <v>10</v>
      </c>
      <c r="B8" s="5" t="s">
        <v>11</v>
      </c>
    </row>
    <row r="9" customFormat="false" ht="23.85" hidden="false" customHeight="false" outlineLevel="0" collapsed="false">
      <c r="A9" s="3" t="s">
        <v>12</v>
      </c>
      <c r="B9" s="5" t="s">
        <v>13</v>
      </c>
    </row>
    <row r="10" customFormat="false" ht="35.05" hidden="false" customHeight="false" outlineLevel="0" collapsed="false">
      <c r="A10" s="3" t="s">
        <v>14</v>
      </c>
      <c r="B10" s="5" t="s">
        <v>15</v>
      </c>
    </row>
    <row r="12" customFormat="false" ht="15" hidden="false" customHeight="false" outlineLevel="0" collapsed="false">
      <c r="A12" s="6" t="s">
        <v>16</v>
      </c>
    </row>
    <row r="13" customFormat="false" ht="15" hidden="false" customHeight="false" outlineLevel="0" collapsed="false">
      <c r="A13" s="5" t="s">
        <v>17</v>
      </c>
      <c r="B13" s="7" t="n">
        <f aca="false">COUNTA('Test slučajevi'!$A$2:$A$300)</f>
        <v>33</v>
      </c>
    </row>
    <row r="14" customFormat="false" ht="15" hidden="false" customHeight="false" outlineLevel="0" collapsed="false">
      <c r="A14" s="5" t="s">
        <v>18</v>
      </c>
      <c r="B14" s="7" t="n">
        <f aca="false">COUNTIF('Test slučajevi'!$L$2:$L$300,"Blokiran")</f>
        <v>33</v>
      </c>
    </row>
    <row r="15" customFormat="false" ht="15" hidden="false" customHeight="false" outlineLevel="0" collapsed="false">
      <c r="A15" s="5" t="s">
        <v>19</v>
      </c>
      <c r="B15" s="7" t="n">
        <f aca="false">COUNTIF('Test slučajevi'!$L$2:$L$300,"Prošao")</f>
        <v>0</v>
      </c>
    </row>
    <row r="16" customFormat="false" ht="15" hidden="false" customHeight="false" outlineLevel="0" collapsed="false">
      <c r="A16" s="5" t="s">
        <v>20</v>
      </c>
      <c r="B16" s="7" t="n">
        <f aca="false">COUNTIF('Test slučajevi'!$L$2:$L$300,"Pao")</f>
        <v>0</v>
      </c>
    </row>
    <row r="17" customFormat="false" ht="15" hidden="false" customHeight="false" outlineLevel="0" collapsed="false">
      <c r="A17" s="5" t="s">
        <v>21</v>
      </c>
      <c r="B17" s="7" t="n">
        <f aca="false">COUNTIF('Test slučajevi'!$L$2:$L$300,"Nije izvršen")</f>
        <v>0</v>
      </c>
    </row>
    <row r="18" customFormat="false" ht="15" hidden="false" customHeight="false" outlineLevel="0" collapsed="false">
      <c r="A18" s="5" t="s">
        <v>22</v>
      </c>
      <c r="B18" s="7" t="n">
        <f aca="false">COUNTIF('Test slučajevi'!$F$2:$F$300,"P1")</f>
        <v>16</v>
      </c>
    </row>
    <row r="19" customFormat="false" ht="15" hidden="false" customHeight="false" outlineLevel="0" collapsed="false">
      <c r="A19" s="5" t="s">
        <v>23</v>
      </c>
      <c r="B19" s="7" t="n">
        <f aca="false">COUNTIF('Test slučajevi'!$F$2:$F$300,"P2")</f>
        <v>9</v>
      </c>
    </row>
    <row r="20" customFormat="false" ht="15" hidden="false" customHeight="false" outlineLevel="0" collapsed="false">
      <c r="A20" s="5" t="s">
        <v>24</v>
      </c>
      <c r="B20" s="7" t="n">
        <f aca="false">COUNTIF('Test slučajevi'!$F$2:$F$300,"P3")</f>
        <v>8</v>
      </c>
    </row>
    <row r="21" customFormat="false" ht="15" hidden="false" customHeight="false" outlineLevel="0" collapsed="false">
      <c r="A21" s="5" t="s">
        <v>25</v>
      </c>
      <c r="B21" s="7" t="str">
        <f aca="false">COUNTIF('Test slučajevi'!$E$2:$E$300,"Pozitivan")&amp;" / "&amp;COUNTIF('Test slučajevi'!$E$2:$E$300,"Negativan")&amp;" / "&amp;COUNTIF('Test slučajevi'!$E$2:$E$300,"Granični")</f>
        <v>17 / 10 / 6</v>
      </c>
    </row>
    <row r="23" customFormat="false" ht="15" hidden="false" customHeight="false" outlineLevel="0" collapsed="false">
      <c r="A23" s="6" t="s">
        <v>26</v>
      </c>
    </row>
    <row r="24" customFormat="false" ht="15" hidden="false" customHeight="false" outlineLevel="0" collapsed="false">
      <c r="A24" s="5" t="s">
        <v>27</v>
      </c>
      <c r="B24" s="7" t="n">
        <f aca="false">COUNTA('Pitanja i nejasnoće'!$A$2:$A$100)</f>
        <v>8</v>
      </c>
    </row>
    <row r="25" customFormat="false" ht="15" hidden="false" customHeight="false" outlineLevel="0" collapsed="false">
      <c r="A25" s="5" t="s">
        <v>28</v>
      </c>
      <c r="B25" s="7" t="n">
        <f aca="false">COUNTIF('Pitanja i nejasnoće'!$E$2:$E$100,"Visok")</f>
        <v>1</v>
      </c>
    </row>
    <row r="26" customFormat="false" ht="15" hidden="false" customHeight="false" outlineLevel="0" collapsed="false">
      <c r="A26" s="5" t="s">
        <v>29</v>
      </c>
      <c r="B26" s="7" t="n">
        <f aca="false">COUNTIF('Izvršene provere'!$D$2:$D$100,"Prošao")</f>
        <v>4</v>
      </c>
    </row>
    <row r="27" customFormat="false" ht="15" hidden="false" customHeight="false" outlineLevel="0" collapsed="false">
      <c r="A27" s="5" t="s">
        <v>30</v>
      </c>
      <c r="B27" s="7" t="n">
        <f aca="false">COUNTIF('Izvršene provere'!$D$2:$D$100,"Pao")</f>
        <v>2</v>
      </c>
    </row>
    <row r="29" customFormat="false" ht="15" hidden="false" customHeight="false" outlineLevel="0" collapsed="false">
      <c r="A29" s="6" t="s">
        <v>31</v>
      </c>
    </row>
    <row r="30" customFormat="false" ht="15" hidden="false" customHeight="false" outlineLevel="0" collapsed="false">
      <c r="A30" s="5" t="s">
        <v>32</v>
      </c>
      <c r="B30" s="7" t="s">
        <v>33</v>
      </c>
    </row>
    <row r="31" customFormat="false" ht="15" hidden="false" customHeight="false" outlineLevel="0" collapsed="false">
      <c r="A31" s="5" t="s">
        <v>34</v>
      </c>
      <c r="B31" s="7" t="s">
        <v>35</v>
      </c>
    </row>
    <row r="32" customFormat="false" ht="15" hidden="false" customHeight="false" outlineLevel="0" collapsed="false">
      <c r="A32" s="5" t="s">
        <v>36</v>
      </c>
      <c r="B32" s="7" t="s">
        <v>37</v>
      </c>
    </row>
    <row r="33" customFormat="false" ht="15" hidden="false" customHeight="false" outlineLevel="0" collapsed="false">
      <c r="A33" s="5" t="s">
        <v>38</v>
      </c>
      <c r="B33" s="7" t="s">
        <v>39</v>
      </c>
    </row>
    <row r="34" customFormat="false" ht="15" hidden="false" customHeight="false" outlineLevel="0" collapsed="false">
      <c r="A34" s="5" t="s">
        <v>40</v>
      </c>
      <c r="B34" s="7" t="s">
        <v>41</v>
      </c>
    </row>
    <row r="35" customFormat="false" ht="15" hidden="false" customHeight="false" outlineLevel="0" collapsed="false">
      <c r="A35" s="5" t="s">
        <v>42</v>
      </c>
      <c r="B35" s="7" t="s">
        <v>43</v>
      </c>
    </row>
    <row r="37" customFormat="false" ht="15" hidden="false" customHeight="false" outlineLevel="0" collapsed="false">
      <c r="A37" s="6" t="s">
        <v>44</v>
      </c>
    </row>
    <row r="38" customFormat="false" ht="15" hidden="false" customHeight="false" outlineLevel="0" collapsed="false">
      <c r="A38" s="5" t="s">
        <v>45</v>
      </c>
      <c r="B38" s="7" t="s">
        <v>46</v>
      </c>
    </row>
    <row r="39" customFormat="false" ht="15" hidden="false" customHeight="false" outlineLevel="0" collapsed="false">
      <c r="A39" s="5" t="s">
        <v>47</v>
      </c>
      <c r="B39" s="7" t="s">
        <v>48</v>
      </c>
    </row>
    <row r="40" customFormat="false" ht="15" hidden="false" customHeight="false" outlineLevel="0" collapsed="false">
      <c r="A40" s="5" t="s">
        <v>49</v>
      </c>
      <c r="B40" s="7" t="s">
        <v>50</v>
      </c>
    </row>
    <row r="41" customFormat="false" ht="15" hidden="false" customHeight="false" outlineLevel="0" collapsed="false">
      <c r="A41" s="5" t="s">
        <v>51</v>
      </c>
      <c r="B41" s="7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4"/>
    <col collapsed="false" customWidth="true" hidden="false" outlineLevel="0" max="8" min="8" style="0" width="52"/>
    <col collapsed="false" customWidth="true" hidden="false" outlineLevel="0" max="9" min="9" style="0" width="44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8" t="s">
        <v>53</v>
      </c>
      <c r="B1" s="8" t="s">
        <v>54</v>
      </c>
      <c r="C1" s="8" t="s">
        <v>55</v>
      </c>
      <c r="D1" s="8" t="s">
        <v>56</v>
      </c>
      <c r="E1" s="8" t="s">
        <v>57</v>
      </c>
      <c r="F1" s="8" t="s">
        <v>34</v>
      </c>
      <c r="G1" s="8" t="s">
        <v>58</v>
      </c>
      <c r="H1" s="8" t="s">
        <v>59</v>
      </c>
      <c r="I1" s="8" t="s">
        <v>60</v>
      </c>
      <c r="J1" s="8" t="s">
        <v>38</v>
      </c>
      <c r="K1" s="8" t="s">
        <v>61</v>
      </c>
      <c r="L1" s="8" t="s">
        <v>36</v>
      </c>
      <c r="M1" s="8" t="s">
        <v>62</v>
      </c>
    </row>
    <row r="2" customFormat="false" ht="57.45" hidden="false" customHeight="false" outlineLevel="0" collapsed="false">
      <c r="A2" s="9" t="s">
        <v>63</v>
      </c>
      <c r="B2" s="9" t="s">
        <v>64</v>
      </c>
      <c r="C2" s="5" t="s">
        <v>65</v>
      </c>
      <c r="D2" s="5" t="s">
        <v>66</v>
      </c>
      <c r="E2" s="9" t="s">
        <v>67</v>
      </c>
      <c r="F2" s="9" t="s">
        <v>68</v>
      </c>
      <c r="G2" s="5" t="s">
        <v>69</v>
      </c>
      <c r="H2" s="5" t="s">
        <v>70</v>
      </c>
      <c r="I2" s="5" t="s">
        <v>71</v>
      </c>
      <c r="J2" s="5" t="s">
        <v>72</v>
      </c>
      <c r="K2" s="9" t="s">
        <v>73</v>
      </c>
      <c r="L2" s="9" t="s">
        <v>74</v>
      </c>
      <c r="M2" s="5" t="s">
        <v>75</v>
      </c>
    </row>
    <row r="3" customFormat="false" ht="79.85" hidden="false" customHeight="false" outlineLevel="0" collapsed="false">
      <c r="A3" s="9" t="s">
        <v>76</v>
      </c>
      <c r="B3" s="9" t="s">
        <v>64</v>
      </c>
      <c r="C3" s="5" t="s">
        <v>65</v>
      </c>
      <c r="D3" s="5" t="s">
        <v>77</v>
      </c>
      <c r="E3" s="9" t="s">
        <v>67</v>
      </c>
      <c r="F3" s="9" t="s">
        <v>78</v>
      </c>
      <c r="G3" s="5" t="s">
        <v>69</v>
      </c>
      <c r="H3" s="5" t="s">
        <v>79</v>
      </c>
      <c r="I3" s="5" t="s">
        <v>80</v>
      </c>
      <c r="J3" s="5" t="s">
        <v>81</v>
      </c>
      <c r="K3" s="9" t="s">
        <v>73</v>
      </c>
      <c r="L3" s="9" t="s">
        <v>74</v>
      </c>
      <c r="M3" s="5" t="s">
        <v>75</v>
      </c>
    </row>
    <row r="4" customFormat="false" ht="35.05" hidden="false" customHeight="false" outlineLevel="0" collapsed="false">
      <c r="A4" s="9" t="s">
        <v>82</v>
      </c>
      <c r="B4" s="9" t="s">
        <v>64</v>
      </c>
      <c r="C4" s="5" t="s">
        <v>65</v>
      </c>
      <c r="D4" s="5" t="s">
        <v>83</v>
      </c>
      <c r="E4" s="9" t="s">
        <v>84</v>
      </c>
      <c r="F4" s="9" t="s">
        <v>68</v>
      </c>
      <c r="G4" s="5" t="s">
        <v>85</v>
      </c>
      <c r="H4" s="5" t="s">
        <v>86</v>
      </c>
      <c r="I4" s="5" t="s">
        <v>87</v>
      </c>
      <c r="J4" s="5" t="s">
        <v>88</v>
      </c>
      <c r="K4" s="9" t="s">
        <v>89</v>
      </c>
      <c r="L4" s="9" t="s">
        <v>74</v>
      </c>
      <c r="M4" s="5" t="s">
        <v>90</v>
      </c>
    </row>
    <row r="5" customFormat="false" ht="57.45" hidden="false" customHeight="false" outlineLevel="0" collapsed="false">
      <c r="A5" s="9" t="s">
        <v>91</v>
      </c>
      <c r="B5" s="9" t="s">
        <v>64</v>
      </c>
      <c r="C5" s="5" t="s">
        <v>65</v>
      </c>
      <c r="D5" s="5" t="s">
        <v>92</v>
      </c>
      <c r="E5" s="9" t="s">
        <v>84</v>
      </c>
      <c r="F5" s="9" t="s">
        <v>68</v>
      </c>
      <c r="G5" s="5" t="s">
        <v>69</v>
      </c>
      <c r="H5" s="5" t="s">
        <v>93</v>
      </c>
      <c r="I5" s="5" t="s">
        <v>94</v>
      </c>
      <c r="J5" s="5" t="s">
        <v>95</v>
      </c>
      <c r="K5" s="9" t="s">
        <v>73</v>
      </c>
      <c r="L5" s="9" t="s">
        <v>74</v>
      </c>
      <c r="M5" s="5" t="s">
        <v>96</v>
      </c>
    </row>
    <row r="6" customFormat="false" ht="57.45" hidden="false" customHeight="false" outlineLevel="0" collapsed="false">
      <c r="A6" s="9" t="s">
        <v>97</v>
      </c>
      <c r="B6" s="9" t="s">
        <v>64</v>
      </c>
      <c r="C6" s="5" t="s">
        <v>65</v>
      </c>
      <c r="D6" s="5" t="s">
        <v>98</v>
      </c>
      <c r="E6" s="9" t="s">
        <v>67</v>
      </c>
      <c r="F6" s="9" t="s">
        <v>78</v>
      </c>
      <c r="G6" s="5" t="s">
        <v>69</v>
      </c>
      <c r="H6" s="5" t="s">
        <v>99</v>
      </c>
      <c r="I6" s="5" t="s">
        <v>100</v>
      </c>
      <c r="J6" s="5" t="s">
        <v>101</v>
      </c>
      <c r="K6" s="9" t="s">
        <v>73</v>
      </c>
      <c r="L6" s="9" t="s">
        <v>74</v>
      </c>
      <c r="M6" s="5" t="s">
        <v>102</v>
      </c>
    </row>
    <row r="7" customFormat="false" ht="46.25" hidden="false" customHeight="false" outlineLevel="0" collapsed="false">
      <c r="A7" s="9" t="s">
        <v>103</v>
      </c>
      <c r="B7" s="9" t="s">
        <v>64</v>
      </c>
      <c r="C7" s="5" t="s">
        <v>65</v>
      </c>
      <c r="D7" s="5" t="s">
        <v>104</v>
      </c>
      <c r="E7" s="9" t="s">
        <v>84</v>
      </c>
      <c r="F7" s="9" t="s">
        <v>68</v>
      </c>
      <c r="G7" s="5" t="s">
        <v>69</v>
      </c>
      <c r="H7" s="5" t="s">
        <v>105</v>
      </c>
      <c r="I7" s="5" t="s">
        <v>106</v>
      </c>
      <c r="J7" s="5" t="s">
        <v>107</v>
      </c>
      <c r="K7" s="9" t="s">
        <v>73</v>
      </c>
      <c r="L7" s="9" t="s">
        <v>74</v>
      </c>
      <c r="M7" s="5" t="s">
        <v>108</v>
      </c>
    </row>
    <row r="8" customFormat="false" ht="46.25" hidden="false" customHeight="false" outlineLevel="0" collapsed="false">
      <c r="A8" s="9" t="s">
        <v>109</v>
      </c>
      <c r="B8" s="9" t="s">
        <v>64</v>
      </c>
      <c r="C8" s="5" t="s">
        <v>65</v>
      </c>
      <c r="D8" s="5" t="s">
        <v>110</v>
      </c>
      <c r="E8" s="9" t="s">
        <v>84</v>
      </c>
      <c r="F8" s="9" t="s">
        <v>68</v>
      </c>
      <c r="G8" s="5" t="s">
        <v>69</v>
      </c>
      <c r="H8" s="5" t="s">
        <v>111</v>
      </c>
      <c r="I8" s="5" t="s">
        <v>112</v>
      </c>
      <c r="J8" s="5" t="s">
        <v>107</v>
      </c>
      <c r="K8" s="9" t="s">
        <v>73</v>
      </c>
      <c r="L8" s="9" t="s">
        <v>74</v>
      </c>
      <c r="M8" s="5" t="s">
        <v>75</v>
      </c>
    </row>
    <row r="9" customFormat="false" ht="46.25" hidden="false" customHeight="false" outlineLevel="0" collapsed="false">
      <c r="A9" s="9" t="s">
        <v>113</v>
      </c>
      <c r="B9" s="9" t="s">
        <v>64</v>
      </c>
      <c r="C9" s="5" t="s">
        <v>65</v>
      </c>
      <c r="D9" s="5" t="s">
        <v>114</v>
      </c>
      <c r="E9" s="9" t="s">
        <v>84</v>
      </c>
      <c r="F9" s="9" t="s">
        <v>68</v>
      </c>
      <c r="G9" s="5" t="s">
        <v>69</v>
      </c>
      <c r="H9" s="5" t="s">
        <v>115</v>
      </c>
      <c r="I9" s="5" t="s">
        <v>116</v>
      </c>
      <c r="J9" s="5" t="s">
        <v>107</v>
      </c>
      <c r="K9" s="9" t="s">
        <v>73</v>
      </c>
      <c r="L9" s="9" t="s">
        <v>74</v>
      </c>
      <c r="M9" s="5" t="s">
        <v>75</v>
      </c>
    </row>
    <row r="10" customFormat="false" ht="35.05" hidden="false" customHeight="false" outlineLevel="0" collapsed="false">
      <c r="A10" s="9" t="s">
        <v>117</v>
      </c>
      <c r="B10" s="9" t="s">
        <v>64</v>
      </c>
      <c r="C10" s="5" t="s">
        <v>65</v>
      </c>
      <c r="D10" s="5" t="s">
        <v>118</v>
      </c>
      <c r="E10" s="9" t="s">
        <v>67</v>
      </c>
      <c r="F10" s="9" t="s">
        <v>119</v>
      </c>
      <c r="G10" s="5" t="s">
        <v>69</v>
      </c>
      <c r="H10" s="5" t="s">
        <v>120</v>
      </c>
      <c r="I10" s="5" t="s">
        <v>121</v>
      </c>
      <c r="J10" s="5" t="s">
        <v>122</v>
      </c>
      <c r="K10" s="9" t="s">
        <v>73</v>
      </c>
      <c r="L10" s="9" t="s">
        <v>74</v>
      </c>
      <c r="M10" s="5" t="s">
        <v>75</v>
      </c>
    </row>
    <row r="11" customFormat="false" ht="35.05" hidden="false" customHeight="false" outlineLevel="0" collapsed="false">
      <c r="A11" s="9" t="s">
        <v>123</v>
      </c>
      <c r="B11" s="9" t="s">
        <v>64</v>
      </c>
      <c r="C11" s="5" t="s">
        <v>65</v>
      </c>
      <c r="D11" s="5" t="s">
        <v>124</v>
      </c>
      <c r="E11" s="9" t="s">
        <v>67</v>
      </c>
      <c r="F11" s="9" t="s">
        <v>119</v>
      </c>
      <c r="G11" s="5" t="s">
        <v>69</v>
      </c>
      <c r="H11" s="5" t="s">
        <v>125</v>
      </c>
      <c r="I11" s="5" t="s">
        <v>126</v>
      </c>
      <c r="J11" s="5" t="s">
        <v>81</v>
      </c>
      <c r="K11" s="9" t="s">
        <v>73</v>
      </c>
      <c r="L11" s="9" t="s">
        <v>74</v>
      </c>
      <c r="M11" s="5" t="s">
        <v>75</v>
      </c>
    </row>
    <row r="12" customFormat="false" ht="46.25" hidden="false" customHeight="false" outlineLevel="0" collapsed="false">
      <c r="A12" s="9" t="s">
        <v>127</v>
      </c>
      <c r="B12" s="9" t="s">
        <v>64</v>
      </c>
      <c r="C12" s="5" t="s">
        <v>65</v>
      </c>
      <c r="D12" s="5" t="s">
        <v>128</v>
      </c>
      <c r="E12" s="9" t="s">
        <v>129</v>
      </c>
      <c r="F12" s="9" t="s">
        <v>119</v>
      </c>
      <c r="G12" s="5" t="s">
        <v>69</v>
      </c>
      <c r="H12" s="5" t="s">
        <v>130</v>
      </c>
      <c r="I12" s="5" t="s">
        <v>131</v>
      </c>
      <c r="J12" s="5" t="s">
        <v>132</v>
      </c>
      <c r="K12" s="9" t="s">
        <v>73</v>
      </c>
      <c r="L12" s="9" t="s">
        <v>74</v>
      </c>
      <c r="M12" s="5" t="s">
        <v>133</v>
      </c>
    </row>
    <row r="13" customFormat="false" ht="46.25" hidden="false" customHeight="false" outlineLevel="0" collapsed="false">
      <c r="A13" s="9" t="s">
        <v>134</v>
      </c>
      <c r="B13" s="9" t="s">
        <v>64</v>
      </c>
      <c r="C13" s="5" t="s">
        <v>65</v>
      </c>
      <c r="D13" s="5" t="s">
        <v>135</v>
      </c>
      <c r="E13" s="9" t="s">
        <v>129</v>
      </c>
      <c r="F13" s="9" t="s">
        <v>119</v>
      </c>
      <c r="G13" s="5" t="s">
        <v>69</v>
      </c>
      <c r="H13" s="5" t="s">
        <v>136</v>
      </c>
      <c r="I13" s="5" t="s">
        <v>137</v>
      </c>
      <c r="J13" s="5" t="s">
        <v>132</v>
      </c>
      <c r="K13" s="9" t="s">
        <v>73</v>
      </c>
      <c r="L13" s="9" t="s">
        <v>74</v>
      </c>
      <c r="M13" s="5" t="s">
        <v>138</v>
      </c>
    </row>
    <row r="14" customFormat="false" ht="57.45" hidden="false" customHeight="false" outlineLevel="0" collapsed="false">
      <c r="A14" s="9" t="s">
        <v>139</v>
      </c>
      <c r="B14" s="9" t="s">
        <v>140</v>
      </c>
      <c r="C14" s="5" t="s">
        <v>141</v>
      </c>
      <c r="D14" s="5" t="s">
        <v>142</v>
      </c>
      <c r="E14" s="9" t="s">
        <v>67</v>
      </c>
      <c r="F14" s="9" t="s">
        <v>68</v>
      </c>
      <c r="G14" s="5" t="s">
        <v>143</v>
      </c>
      <c r="H14" s="5" t="s">
        <v>144</v>
      </c>
      <c r="I14" s="5" t="s">
        <v>145</v>
      </c>
      <c r="J14" s="5" t="s">
        <v>146</v>
      </c>
      <c r="K14" s="9" t="s">
        <v>73</v>
      </c>
      <c r="L14" s="9" t="s">
        <v>74</v>
      </c>
      <c r="M14" s="5" t="s">
        <v>75</v>
      </c>
    </row>
    <row r="15" customFormat="false" ht="35.05" hidden="false" customHeight="false" outlineLevel="0" collapsed="false">
      <c r="A15" s="9" t="s">
        <v>147</v>
      </c>
      <c r="B15" s="9" t="s">
        <v>140</v>
      </c>
      <c r="C15" s="5" t="s">
        <v>141</v>
      </c>
      <c r="D15" s="5" t="s">
        <v>148</v>
      </c>
      <c r="E15" s="9" t="s">
        <v>84</v>
      </c>
      <c r="F15" s="9" t="s">
        <v>78</v>
      </c>
      <c r="G15" s="5" t="s">
        <v>143</v>
      </c>
      <c r="H15" s="5" t="s">
        <v>149</v>
      </c>
      <c r="I15" s="5" t="s">
        <v>150</v>
      </c>
      <c r="J15" s="5" t="s">
        <v>151</v>
      </c>
      <c r="K15" s="9" t="s">
        <v>73</v>
      </c>
      <c r="L15" s="9" t="s">
        <v>74</v>
      </c>
      <c r="M15" s="5" t="s">
        <v>152</v>
      </c>
    </row>
    <row r="16" customFormat="false" ht="46.25" hidden="false" customHeight="false" outlineLevel="0" collapsed="false">
      <c r="A16" s="9" t="s">
        <v>153</v>
      </c>
      <c r="B16" s="9" t="s">
        <v>140</v>
      </c>
      <c r="C16" s="5" t="s">
        <v>141</v>
      </c>
      <c r="D16" s="5" t="s">
        <v>154</v>
      </c>
      <c r="E16" s="9" t="s">
        <v>67</v>
      </c>
      <c r="F16" s="9" t="s">
        <v>78</v>
      </c>
      <c r="G16" s="5" t="s">
        <v>143</v>
      </c>
      <c r="H16" s="5" t="s">
        <v>155</v>
      </c>
      <c r="I16" s="5" t="s">
        <v>156</v>
      </c>
      <c r="J16" s="5" t="s">
        <v>132</v>
      </c>
      <c r="K16" s="9" t="s">
        <v>73</v>
      </c>
      <c r="L16" s="9" t="s">
        <v>74</v>
      </c>
      <c r="M16" s="5" t="s">
        <v>75</v>
      </c>
    </row>
    <row r="17" customFormat="false" ht="46.25" hidden="false" customHeight="false" outlineLevel="0" collapsed="false">
      <c r="A17" s="9" t="s">
        <v>157</v>
      </c>
      <c r="B17" s="9" t="s">
        <v>158</v>
      </c>
      <c r="C17" s="5" t="s">
        <v>159</v>
      </c>
      <c r="D17" s="5" t="s">
        <v>160</v>
      </c>
      <c r="E17" s="9" t="s">
        <v>67</v>
      </c>
      <c r="F17" s="9" t="s">
        <v>68</v>
      </c>
      <c r="G17" s="5" t="s">
        <v>143</v>
      </c>
      <c r="H17" s="5" t="s">
        <v>161</v>
      </c>
      <c r="I17" s="5" t="s">
        <v>162</v>
      </c>
      <c r="J17" s="5" t="s">
        <v>163</v>
      </c>
      <c r="K17" s="9" t="s">
        <v>164</v>
      </c>
      <c r="L17" s="9" t="s">
        <v>74</v>
      </c>
      <c r="M17" s="5" t="s">
        <v>75</v>
      </c>
    </row>
    <row r="18" customFormat="false" ht="46.25" hidden="false" customHeight="false" outlineLevel="0" collapsed="false">
      <c r="A18" s="9" t="s">
        <v>165</v>
      </c>
      <c r="B18" s="9" t="s">
        <v>158</v>
      </c>
      <c r="C18" s="5" t="s">
        <v>159</v>
      </c>
      <c r="D18" s="5" t="s">
        <v>166</v>
      </c>
      <c r="E18" s="9" t="s">
        <v>67</v>
      </c>
      <c r="F18" s="9" t="s">
        <v>78</v>
      </c>
      <c r="G18" s="5" t="s">
        <v>167</v>
      </c>
      <c r="H18" s="5" t="s">
        <v>168</v>
      </c>
      <c r="I18" s="5" t="s">
        <v>169</v>
      </c>
      <c r="J18" s="5" t="s">
        <v>170</v>
      </c>
      <c r="K18" s="9" t="s">
        <v>164</v>
      </c>
      <c r="L18" s="9" t="s">
        <v>74</v>
      </c>
      <c r="M18" s="5" t="s">
        <v>171</v>
      </c>
    </row>
    <row r="19" customFormat="false" ht="35.05" hidden="false" customHeight="false" outlineLevel="0" collapsed="false">
      <c r="A19" s="9" t="s">
        <v>172</v>
      </c>
      <c r="B19" s="9" t="s">
        <v>158</v>
      </c>
      <c r="C19" s="5" t="s">
        <v>159</v>
      </c>
      <c r="D19" s="5" t="s">
        <v>173</v>
      </c>
      <c r="E19" s="9" t="s">
        <v>129</v>
      </c>
      <c r="F19" s="9" t="s">
        <v>78</v>
      </c>
      <c r="G19" s="5" t="s">
        <v>174</v>
      </c>
      <c r="H19" s="5" t="s">
        <v>175</v>
      </c>
      <c r="I19" s="5" t="s">
        <v>176</v>
      </c>
      <c r="J19" s="5" t="s">
        <v>132</v>
      </c>
      <c r="K19" s="9" t="s">
        <v>164</v>
      </c>
      <c r="L19" s="9" t="s">
        <v>74</v>
      </c>
      <c r="M19" s="5" t="s">
        <v>177</v>
      </c>
    </row>
    <row r="20" customFormat="false" ht="46.25" hidden="false" customHeight="false" outlineLevel="0" collapsed="false">
      <c r="A20" s="9" t="s">
        <v>178</v>
      </c>
      <c r="B20" s="9" t="s">
        <v>179</v>
      </c>
      <c r="C20" s="5" t="s">
        <v>180</v>
      </c>
      <c r="D20" s="5" t="s">
        <v>181</v>
      </c>
      <c r="E20" s="9" t="s">
        <v>67</v>
      </c>
      <c r="F20" s="9" t="s">
        <v>68</v>
      </c>
      <c r="G20" s="5" t="s">
        <v>143</v>
      </c>
      <c r="H20" s="5" t="s">
        <v>182</v>
      </c>
      <c r="I20" s="5" t="s">
        <v>183</v>
      </c>
      <c r="J20" s="5" t="s">
        <v>184</v>
      </c>
      <c r="K20" s="9" t="s">
        <v>185</v>
      </c>
      <c r="L20" s="9" t="s">
        <v>74</v>
      </c>
      <c r="M20" s="5" t="s">
        <v>186</v>
      </c>
    </row>
    <row r="21" customFormat="false" ht="46.25" hidden="false" customHeight="false" outlineLevel="0" collapsed="false">
      <c r="A21" s="9" t="s">
        <v>187</v>
      </c>
      <c r="B21" s="9" t="s">
        <v>179</v>
      </c>
      <c r="C21" s="5" t="s">
        <v>180</v>
      </c>
      <c r="D21" s="5" t="s">
        <v>188</v>
      </c>
      <c r="E21" s="9" t="s">
        <v>67</v>
      </c>
      <c r="F21" s="9" t="s">
        <v>78</v>
      </c>
      <c r="G21" s="5" t="s">
        <v>143</v>
      </c>
      <c r="H21" s="5" t="s">
        <v>189</v>
      </c>
      <c r="I21" s="5" t="s">
        <v>190</v>
      </c>
      <c r="J21" s="5" t="s">
        <v>184</v>
      </c>
      <c r="K21" s="9" t="s">
        <v>185</v>
      </c>
      <c r="L21" s="9" t="s">
        <v>74</v>
      </c>
      <c r="M21" s="5" t="s">
        <v>75</v>
      </c>
    </row>
    <row r="22" customFormat="false" ht="35.05" hidden="false" customHeight="false" outlineLevel="0" collapsed="false">
      <c r="A22" s="9" t="s">
        <v>191</v>
      </c>
      <c r="B22" s="9" t="s">
        <v>179</v>
      </c>
      <c r="C22" s="5" t="s">
        <v>180</v>
      </c>
      <c r="D22" s="5" t="s">
        <v>192</v>
      </c>
      <c r="E22" s="9" t="s">
        <v>84</v>
      </c>
      <c r="F22" s="9" t="s">
        <v>68</v>
      </c>
      <c r="G22" s="5" t="s">
        <v>143</v>
      </c>
      <c r="H22" s="5" t="s">
        <v>193</v>
      </c>
      <c r="I22" s="5" t="s">
        <v>194</v>
      </c>
      <c r="J22" s="5" t="s">
        <v>195</v>
      </c>
      <c r="K22" s="9" t="s">
        <v>185</v>
      </c>
      <c r="L22" s="9" t="s">
        <v>74</v>
      </c>
      <c r="M22" s="5" t="s">
        <v>75</v>
      </c>
    </row>
    <row r="23" customFormat="false" ht="35.05" hidden="false" customHeight="false" outlineLevel="0" collapsed="false">
      <c r="A23" s="9" t="s">
        <v>196</v>
      </c>
      <c r="B23" s="9" t="s">
        <v>179</v>
      </c>
      <c r="C23" s="5" t="s">
        <v>180</v>
      </c>
      <c r="D23" s="5" t="s">
        <v>197</v>
      </c>
      <c r="E23" s="9" t="s">
        <v>84</v>
      </c>
      <c r="F23" s="9" t="s">
        <v>68</v>
      </c>
      <c r="G23" s="5" t="s">
        <v>143</v>
      </c>
      <c r="H23" s="5" t="s">
        <v>198</v>
      </c>
      <c r="I23" s="5" t="s">
        <v>199</v>
      </c>
      <c r="J23" s="5" t="s">
        <v>195</v>
      </c>
      <c r="K23" s="9" t="s">
        <v>185</v>
      </c>
      <c r="L23" s="9" t="s">
        <v>74</v>
      </c>
      <c r="M23" s="5" t="s">
        <v>75</v>
      </c>
    </row>
    <row r="24" customFormat="false" ht="35.05" hidden="false" customHeight="false" outlineLevel="0" collapsed="false">
      <c r="A24" s="9" t="s">
        <v>200</v>
      </c>
      <c r="B24" s="9" t="s">
        <v>179</v>
      </c>
      <c r="C24" s="5" t="s">
        <v>180</v>
      </c>
      <c r="D24" s="5" t="s">
        <v>201</v>
      </c>
      <c r="E24" s="9" t="s">
        <v>67</v>
      </c>
      <c r="F24" s="9" t="s">
        <v>119</v>
      </c>
      <c r="G24" s="5" t="s">
        <v>143</v>
      </c>
      <c r="H24" s="5" t="s">
        <v>202</v>
      </c>
      <c r="I24" s="5" t="s">
        <v>203</v>
      </c>
      <c r="J24" s="5" t="s">
        <v>204</v>
      </c>
      <c r="K24" s="9" t="s">
        <v>185</v>
      </c>
      <c r="L24" s="9" t="s">
        <v>74</v>
      </c>
      <c r="M24" s="5" t="s">
        <v>75</v>
      </c>
    </row>
    <row r="25" customFormat="false" ht="35.05" hidden="false" customHeight="false" outlineLevel="0" collapsed="false">
      <c r="A25" s="9" t="s">
        <v>205</v>
      </c>
      <c r="B25" s="9" t="s">
        <v>179</v>
      </c>
      <c r="C25" s="5" t="s">
        <v>180</v>
      </c>
      <c r="D25" s="5" t="s">
        <v>206</v>
      </c>
      <c r="E25" s="9" t="s">
        <v>129</v>
      </c>
      <c r="F25" s="9" t="s">
        <v>78</v>
      </c>
      <c r="G25" s="5" t="s">
        <v>143</v>
      </c>
      <c r="H25" s="5" t="s">
        <v>207</v>
      </c>
      <c r="I25" s="5" t="s">
        <v>208</v>
      </c>
      <c r="J25" s="5" t="s">
        <v>132</v>
      </c>
      <c r="K25" s="9" t="s">
        <v>185</v>
      </c>
      <c r="L25" s="9" t="s">
        <v>74</v>
      </c>
      <c r="M25" s="5" t="s">
        <v>209</v>
      </c>
    </row>
    <row r="26" customFormat="false" ht="23.85" hidden="false" customHeight="false" outlineLevel="0" collapsed="false">
      <c r="A26" s="9" t="s">
        <v>210</v>
      </c>
      <c r="B26" s="9" t="s">
        <v>179</v>
      </c>
      <c r="C26" s="5" t="s">
        <v>180</v>
      </c>
      <c r="D26" s="5" t="s">
        <v>211</v>
      </c>
      <c r="E26" s="9" t="s">
        <v>129</v>
      </c>
      <c r="F26" s="9" t="s">
        <v>119</v>
      </c>
      <c r="G26" s="5" t="s">
        <v>143</v>
      </c>
      <c r="H26" s="5" t="s">
        <v>212</v>
      </c>
      <c r="I26" s="5" t="s">
        <v>213</v>
      </c>
      <c r="J26" s="5" t="s">
        <v>132</v>
      </c>
      <c r="K26" s="9" t="s">
        <v>185</v>
      </c>
      <c r="L26" s="9" t="s">
        <v>74</v>
      </c>
      <c r="M26" s="5" t="s">
        <v>75</v>
      </c>
    </row>
    <row r="27" customFormat="false" ht="57.45" hidden="false" customHeight="false" outlineLevel="0" collapsed="false">
      <c r="A27" s="9" t="s">
        <v>214</v>
      </c>
      <c r="B27" s="9" t="s">
        <v>215</v>
      </c>
      <c r="C27" s="5" t="s">
        <v>216</v>
      </c>
      <c r="D27" s="5" t="s">
        <v>217</v>
      </c>
      <c r="E27" s="9" t="s">
        <v>67</v>
      </c>
      <c r="F27" s="9" t="s">
        <v>68</v>
      </c>
      <c r="G27" s="5" t="s">
        <v>143</v>
      </c>
      <c r="H27" s="5" t="s">
        <v>218</v>
      </c>
      <c r="I27" s="5" t="s">
        <v>219</v>
      </c>
      <c r="J27" s="5" t="s">
        <v>220</v>
      </c>
      <c r="K27" s="9" t="s">
        <v>221</v>
      </c>
      <c r="L27" s="9" t="s">
        <v>74</v>
      </c>
      <c r="M27" s="5" t="s">
        <v>222</v>
      </c>
    </row>
    <row r="28" customFormat="false" ht="46.25" hidden="false" customHeight="false" outlineLevel="0" collapsed="false">
      <c r="A28" s="9" t="s">
        <v>223</v>
      </c>
      <c r="B28" s="9" t="s">
        <v>215</v>
      </c>
      <c r="C28" s="5" t="s">
        <v>216</v>
      </c>
      <c r="D28" s="5" t="s">
        <v>224</v>
      </c>
      <c r="E28" s="9" t="s">
        <v>67</v>
      </c>
      <c r="F28" s="9" t="s">
        <v>78</v>
      </c>
      <c r="G28" s="5" t="s">
        <v>143</v>
      </c>
      <c r="H28" s="5" t="s">
        <v>225</v>
      </c>
      <c r="I28" s="5" t="s">
        <v>226</v>
      </c>
      <c r="J28" s="5" t="s">
        <v>227</v>
      </c>
      <c r="K28" s="9" t="s">
        <v>221</v>
      </c>
      <c r="L28" s="9" t="s">
        <v>74</v>
      </c>
      <c r="M28" s="5" t="s">
        <v>75</v>
      </c>
    </row>
    <row r="29" customFormat="false" ht="35.05" hidden="false" customHeight="false" outlineLevel="0" collapsed="false">
      <c r="A29" s="9" t="s">
        <v>228</v>
      </c>
      <c r="B29" s="9" t="s">
        <v>215</v>
      </c>
      <c r="C29" s="5" t="s">
        <v>216</v>
      </c>
      <c r="D29" s="5" t="s">
        <v>229</v>
      </c>
      <c r="E29" s="9" t="s">
        <v>84</v>
      </c>
      <c r="F29" s="9" t="s">
        <v>68</v>
      </c>
      <c r="G29" s="5" t="s">
        <v>143</v>
      </c>
      <c r="H29" s="5" t="s">
        <v>230</v>
      </c>
      <c r="I29" s="5" t="s">
        <v>231</v>
      </c>
      <c r="J29" s="5" t="s">
        <v>232</v>
      </c>
      <c r="K29" s="9" t="s">
        <v>221</v>
      </c>
      <c r="L29" s="9" t="s">
        <v>74</v>
      </c>
      <c r="M29" s="5" t="s">
        <v>75</v>
      </c>
    </row>
    <row r="30" customFormat="false" ht="35.05" hidden="false" customHeight="false" outlineLevel="0" collapsed="false">
      <c r="A30" s="9" t="s">
        <v>233</v>
      </c>
      <c r="B30" s="9" t="s">
        <v>215</v>
      </c>
      <c r="C30" s="5" t="s">
        <v>216</v>
      </c>
      <c r="D30" s="5" t="s">
        <v>234</v>
      </c>
      <c r="E30" s="9" t="s">
        <v>84</v>
      </c>
      <c r="F30" s="9" t="s">
        <v>68</v>
      </c>
      <c r="G30" s="5" t="s">
        <v>143</v>
      </c>
      <c r="H30" s="5" t="s">
        <v>235</v>
      </c>
      <c r="I30" s="5" t="s">
        <v>231</v>
      </c>
      <c r="J30" s="5" t="s">
        <v>232</v>
      </c>
      <c r="K30" s="9" t="s">
        <v>221</v>
      </c>
      <c r="L30" s="9" t="s">
        <v>74</v>
      </c>
      <c r="M30" s="5" t="s">
        <v>75</v>
      </c>
    </row>
    <row r="31" customFormat="false" ht="46.25" hidden="false" customHeight="false" outlineLevel="0" collapsed="false">
      <c r="A31" s="9" t="s">
        <v>236</v>
      </c>
      <c r="B31" s="9" t="s">
        <v>215</v>
      </c>
      <c r="C31" s="5" t="s">
        <v>216</v>
      </c>
      <c r="D31" s="5" t="s">
        <v>237</v>
      </c>
      <c r="E31" s="9" t="s">
        <v>67</v>
      </c>
      <c r="F31" s="9" t="s">
        <v>68</v>
      </c>
      <c r="G31" s="5" t="s">
        <v>238</v>
      </c>
      <c r="H31" s="5" t="s">
        <v>239</v>
      </c>
      <c r="I31" s="5" t="s">
        <v>240</v>
      </c>
      <c r="J31" s="5" t="s">
        <v>241</v>
      </c>
      <c r="K31" s="9" t="s">
        <v>221</v>
      </c>
      <c r="L31" s="9" t="s">
        <v>74</v>
      </c>
      <c r="M31" s="5" t="s">
        <v>242</v>
      </c>
    </row>
    <row r="32" customFormat="false" ht="35.05" hidden="false" customHeight="false" outlineLevel="0" collapsed="false">
      <c r="A32" s="9" t="s">
        <v>243</v>
      </c>
      <c r="B32" s="9" t="s">
        <v>215</v>
      </c>
      <c r="C32" s="5" t="s">
        <v>216</v>
      </c>
      <c r="D32" s="5" t="s">
        <v>244</v>
      </c>
      <c r="E32" s="9" t="s">
        <v>67</v>
      </c>
      <c r="F32" s="9" t="s">
        <v>68</v>
      </c>
      <c r="G32" s="5" t="s">
        <v>238</v>
      </c>
      <c r="H32" s="5" t="s">
        <v>245</v>
      </c>
      <c r="I32" s="5" t="s">
        <v>246</v>
      </c>
      <c r="J32" s="5" t="s">
        <v>241</v>
      </c>
      <c r="K32" s="9" t="s">
        <v>221</v>
      </c>
      <c r="L32" s="9" t="s">
        <v>74</v>
      </c>
      <c r="M32" s="5" t="s">
        <v>247</v>
      </c>
    </row>
    <row r="33" customFormat="false" ht="46.25" hidden="false" customHeight="false" outlineLevel="0" collapsed="false">
      <c r="A33" s="9" t="s">
        <v>248</v>
      </c>
      <c r="B33" s="9" t="s">
        <v>215</v>
      </c>
      <c r="C33" s="5" t="s">
        <v>216</v>
      </c>
      <c r="D33" s="5" t="s">
        <v>249</v>
      </c>
      <c r="E33" s="9" t="s">
        <v>67</v>
      </c>
      <c r="F33" s="9" t="s">
        <v>119</v>
      </c>
      <c r="G33" s="5" t="s">
        <v>143</v>
      </c>
      <c r="H33" s="5" t="s">
        <v>250</v>
      </c>
      <c r="I33" s="5" t="s">
        <v>251</v>
      </c>
      <c r="J33" s="5" t="s">
        <v>252</v>
      </c>
      <c r="K33" s="9" t="s">
        <v>221</v>
      </c>
      <c r="L33" s="9" t="s">
        <v>74</v>
      </c>
      <c r="M33" s="5" t="s">
        <v>75</v>
      </c>
    </row>
    <row r="34" customFormat="false" ht="35.05" hidden="false" customHeight="false" outlineLevel="0" collapsed="false">
      <c r="A34" s="9" t="s">
        <v>253</v>
      </c>
      <c r="B34" s="9" t="s">
        <v>215</v>
      </c>
      <c r="C34" s="5" t="s">
        <v>216</v>
      </c>
      <c r="D34" s="5" t="s">
        <v>254</v>
      </c>
      <c r="E34" s="9" t="s">
        <v>129</v>
      </c>
      <c r="F34" s="9" t="s">
        <v>119</v>
      </c>
      <c r="G34" s="5" t="s">
        <v>143</v>
      </c>
      <c r="H34" s="5" t="s">
        <v>255</v>
      </c>
      <c r="I34" s="5" t="s">
        <v>256</v>
      </c>
      <c r="J34" s="5" t="s">
        <v>132</v>
      </c>
      <c r="K34" s="9" t="s">
        <v>221</v>
      </c>
      <c r="L34" s="9" t="s">
        <v>74</v>
      </c>
      <c r="M34" s="5" t="s">
        <v>257</v>
      </c>
    </row>
  </sheetData>
  <autoFilter ref="A1:M34"/>
  <conditionalFormatting sqref="L2:L300">
    <cfRule type="cellIs" priority="2" operator="equal" aboveAverage="0" equalAverage="0" bottom="0" percent="0" rank="0" text="" dxfId="5">
      <formula>"Prošao"</formula>
    </cfRule>
    <cfRule type="cellIs" priority="3" operator="equal" aboveAverage="0" equalAverage="0" bottom="0" percent="0" rank="0" text="" dxfId="6">
      <formula>"Pao"</formula>
    </cfRule>
    <cfRule type="cellIs" priority="4" operator="equal" aboveAverage="0" equalAverage="0" bottom="0" percent="0" rank="0" text="" dxfId="7">
      <formula>"Blokiran"</formula>
    </cfRule>
    <cfRule type="cellIs" priority="5" operator="equal" aboveAverage="0" equalAverage="0" bottom="0" percent="0" rank="0" text="" dxfId="8">
      <formula>"Nije izvršen"</formula>
    </cfRule>
  </conditionalFormatting>
  <dataValidations count="1">
    <dataValidation allowBlank="false" errorStyle="stop" operator="between" showDropDown="false" showErrorMessage="false" showInputMessage="false" sqref="L2:L300" type="list">
      <formula1>"Nije izvršen,Prošao,Pao,Blokiran"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50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8" t="s">
        <v>53</v>
      </c>
      <c r="B1" s="8" t="s">
        <v>54</v>
      </c>
      <c r="C1" s="8" t="s">
        <v>258</v>
      </c>
      <c r="D1" s="8" t="s">
        <v>259</v>
      </c>
      <c r="E1" s="8" t="s">
        <v>260</v>
      </c>
      <c r="F1" s="8" t="s">
        <v>261</v>
      </c>
      <c r="G1" s="8" t="s">
        <v>262</v>
      </c>
    </row>
    <row r="2" customFormat="false" ht="35.05" hidden="false" customHeight="false" outlineLevel="0" collapsed="false">
      <c r="A2" s="9" t="s">
        <v>263</v>
      </c>
      <c r="B2" s="9" t="s">
        <v>179</v>
      </c>
      <c r="C2" s="5" t="s">
        <v>264</v>
      </c>
      <c r="D2" s="5" t="s">
        <v>265</v>
      </c>
      <c r="E2" s="9" t="s">
        <v>266</v>
      </c>
      <c r="F2" s="5" t="s">
        <v>267</v>
      </c>
      <c r="G2" s="5" t="s">
        <v>178</v>
      </c>
    </row>
    <row r="3" customFormat="false" ht="35.05" hidden="false" customHeight="false" outlineLevel="0" collapsed="false">
      <c r="A3" s="9" t="s">
        <v>268</v>
      </c>
      <c r="B3" s="9" t="s">
        <v>158</v>
      </c>
      <c r="C3" s="5" t="s">
        <v>269</v>
      </c>
      <c r="D3" s="5" t="s">
        <v>270</v>
      </c>
      <c r="E3" s="9" t="s">
        <v>271</v>
      </c>
      <c r="F3" s="5" t="s">
        <v>272</v>
      </c>
      <c r="G3" s="5" t="s">
        <v>172</v>
      </c>
    </row>
    <row r="4" customFormat="false" ht="35.05" hidden="false" customHeight="false" outlineLevel="0" collapsed="false">
      <c r="A4" s="9" t="s">
        <v>273</v>
      </c>
      <c r="B4" s="9" t="s">
        <v>64</v>
      </c>
      <c r="C4" s="5" t="s">
        <v>274</v>
      </c>
      <c r="D4" s="5" t="s">
        <v>275</v>
      </c>
      <c r="E4" s="9" t="s">
        <v>276</v>
      </c>
      <c r="F4" s="5" t="s">
        <v>277</v>
      </c>
      <c r="G4" s="5" t="s">
        <v>278</v>
      </c>
    </row>
    <row r="5" customFormat="false" ht="35.05" hidden="false" customHeight="false" outlineLevel="0" collapsed="false">
      <c r="A5" s="9" t="s">
        <v>279</v>
      </c>
      <c r="B5" s="9" t="s">
        <v>215</v>
      </c>
      <c r="C5" s="5" t="s">
        <v>280</v>
      </c>
      <c r="D5" s="5" t="s">
        <v>281</v>
      </c>
      <c r="E5" s="9" t="s">
        <v>276</v>
      </c>
      <c r="F5" s="5" t="s">
        <v>282</v>
      </c>
      <c r="G5" s="5" t="s">
        <v>283</v>
      </c>
    </row>
    <row r="6" customFormat="false" ht="35.05" hidden="false" customHeight="false" outlineLevel="0" collapsed="false">
      <c r="A6" s="9" t="s">
        <v>284</v>
      </c>
      <c r="B6" s="9" t="s">
        <v>179</v>
      </c>
      <c r="C6" s="5" t="s">
        <v>285</v>
      </c>
      <c r="D6" s="5" t="s">
        <v>286</v>
      </c>
      <c r="E6" s="9" t="s">
        <v>276</v>
      </c>
      <c r="F6" s="5" t="s">
        <v>287</v>
      </c>
      <c r="G6" s="5" t="s">
        <v>205</v>
      </c>
    </row>
    <row r="7" customFormat="false" ht="35.05" hidden="false" customHeight="false" outlineLevel="0" collapsed="false">
      <c r="A7" s="9" t="s">
        <v>288</v>
      </c>
      <c r="B7" s="9" t="s">
        <v>64</v>
      </c>
      <c r="C7" s="5" t="s">
        <v>289</v>
      </c>
      <c r="D7" s="5" t="s">
        <v>290</v>
      </c>
      <c r="E7" s="9" t="s">
        <v>276</v>
      </c>
      <c r="F7" s="5" t="s">
        <v>291</v>
      </c>
      <c r="G7" s="5" t="s">
        <v>82</v>
      </c>
    </row>
    <row r="8" customFormat="false" ht="23.85" hidden="false" customHeight="false" outlineLevel="0" collapsed="false">
      <c r="A8" s="9" t="s">
        <v>292</v>
      </c>
      <c r="B8" s="9" t="s">
        <v>64</v>
      </c>
      <c r="C8" s="5" t="s">
        <v>293</v>
      </c>
      <c r="D8" s="5" t="s">
        <v>294</v>
      </c>
      <c r="E8" s="9" t="s">
        <v>266</v>
      </c>
      <c r="F8" s="5" t="s">
        <v>295</v>
      </c>
      <c r="G8" s="5" t="s">
        <v>76</v>
      </c>
    </row>
    <row r="9" customFormat="false" ht="23.85" hidden="false" customHeight="false" outlineLevel="0" collapsed="false">
      <c r="A9" s="9" t="s">
        <v>296</v>
      </c>
      <c r="B9" s="9" t="s">
        <v>215</v>
      </c>
      <c r="C9" s="5" t="s">
        <v>297</v>
      </c>
      <c r="D9" s="5" t="s">
        <v>298</v>
      </c>
      <c r="E9" s="9" t="s">
        <v>266</v>
      </c>
      <c r="F9" s="5" t="s">
        <v>299</v>
      </c>
      <c r="G9" s="5" t="s">
        <v>253</v>
      </c>
    </row>
  </sheetData>
  <autoFilter ref="A1:G9"/>
  <conditionalFormatting sqref="E2:E100">
    <cfRule type="cellIs" priority="2" operator="equal" aboveAverage="0" equalAverage="0" bottom="0" percent="0" rank="0" text="" dxfId="6">
      <formula>"Visok"</formula>
    </cfRule>
    <cfRule type="cellIs" priority="3" operator="equal" aboveAverage="0" equalAverage="0" bottom="0" percent="0" rank="0" text="" dxfId="7">
      <formula>"Srednji"</formula>
    </cfRule>
    <cfRule type="cellIs" priority="4" operator="equal" aboveAverage="0" equalAverage="0" bottom="0" percent="0" rank="0" text="" dxfId="11">
      <formula>"Nizak"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8" t="s">
        <v>54</v>
      </c>
      <c r="B1" s="8" t="s">
        <v>300</v>
      </c>
      <c r="C1" s="8" t="s">
        <v>301</v>
      </c>
      <c r="D1" s="8" t="s">
        <v>302</v>
      </c>
      <c r="E1" s="8" t="s">
        <v>303</v>
      </c>
      <c r="F1" s="8" t="s">
        <v>129</v>
      </c>
      <c r="G1" s="8" t="s">
        <v>304</v>
      </c>
    </row>
    <row r="2" customFormat="false" ht="15" hidden="false" customHeight="false" outlineLevel="0" collapsed="false">
      <c r="A2" s="9" t="s">
        <v>64</v>
      </c>
      <c r="B2" s="5" t="s">
        <v>65</v>
      </c>
      <c r="C2" s="9" t="n">
        <f aca="false">COUNTIF('Test slučajevi'!$B$2:$B$300,A2)</f>
        <v>12</v>
      </c>
      <c r="D2" s="9" t="n">
        <f aca="false">COUNTIFS('Test slučajevi'!$B$2:$B$300,A2,'Test slučajevi'!$E$2:$E$300,"Pozitivan")</f>
        <v>5</v>
      </c>
      <c r="E2" s="9" t="n">
        <f aca="false">COUNTIFS('Test slučajevi'!$B$2:$B$300,A2,'Test slučajevi'!$E$2:$E$300,"Negativan")</f>
        <v>5</v>
      </c>
      <c r="F2" s="9" t="n">
        <f aca="false">COUNTIFS('Test slučajevi'!$B$2:$B$300,A2,'Test slučajevi'!$E$2:$E$300,"Granični")</f>
        <v>2</v>
      </c>
      <c r="G2" s="9" t="n">
        <f aca="false">COUNTIF('Pitanja i nejasnoće'!$B$2:$B$100,A2)</f>
        <v>3</v>
      </c>
    </row>
    <row r="3" customFormat="false" ht="15" hidden="false" customHeight="false" outlineLevel="0" collapsed="false">
      <c r="A3" s="9" t="s">
        <v>140</v>
      </c>
      <c r="B3" s="5" t="s">
        <v>141</v>
      </c>
      <c r="C3" s="9" t="n">
        <f aca="false">COUNTIF('Test slučajevi'!$B$2:$B$300,A3)</f>
        <v>3</v>
      </c>
      <c r="D3" s="9" t="n">
        <f aca="false">COUNTIFS('Test slučajevi'!$B$2:$B$300,A3,'Test slučajevi'!$E$2:$E$300,"Pozitivan")</f>
        <v>2</v>
      </c>
      <c r="E3" s="9" t="n">
        <f aca="false">COUNTIFS('Test slučajevi'!$B$2:$B$300,A3,'Test slučajevi'!$E$2:$E$300,"Negativan")</f>
        <v>1</v>
      </c>
      <c r="F3" s="9" t="n">
        <f aca="false">COUNTIFS('Test slučajevi'!$B$2:$B$300,A3,'Test slučajevi'!$E$2:$E$300,"Granični")</f>
        <v>0</v>
      </c>
      <c r="G3" s="9" t="n">
        <f aca="false">COUNTIF('Pitanja i nejasnoće'!$B$2:$B$100,A3)</f>
        <v>0</v>
      </c>
    </row>
    <row r="4" customFormat="false" ht="15" hidden="false" customHeight="false" outlineLevel="0" collapsed="false">
      <c r="A4" s="9" t="s">
        <v>158</v>
      </c>
      <c r="B4" s="5" t="s">
        <v>159</v>
      </c>
      <c r="C4" s="9" t="n">
        <f aca="false">COUNTIF('Test slučajevi'!$B$2:$B$300,A4)</f>
        <v>3</v>
      </c>
      <c r="D4" s="9" t="n">
        <f aca="false">COUNTIFS('Test slučajevi'!$B$2:$B$300,A4,'Test slučajevi'!$E$2:$E$300,"Pozitivan")</f>
        <v>2</v>
      </c>
      <c r="E4" s="9" t="n">
        <f aca="false">COUNTIFS('Test slučajevi'!$B$2:$B$300,A4,'Test slučajevi'!$E$2:$E$300,"Negativan")</f>
        <v>0</v>
      </c>
      <c r="F4" s="9" t="n">
        <f aca="false">COUNTIFS('Test slučajevi'!$B$2:$B$300,A4,'Test slučajevi'!$E$2:$E$300,"Granični")</f>
        <v>1</v>
      </c>
      <c r="G4" s="9" t="n">
        <f aca="false">COUNTIF('Pitanja i nejasnoće'!$B$2:$B$100,A4)</f>
        <v>1</v>
      </c>
    </row>
    <row r="5" customFormat="false" ht="15" hidden="false" customHeight="false" outlineLevel="0" collapsed="false">
      <c r="A5" s="9" t="s">
        <v>179</v>
      </c>
      <c r="B5" s="5" t="s">
        <v>180</v>
      </c>
      <c r="C5" s="9" t="n">
        <f aca="false">COUNTIF('Test slučajevi'!$B$2:$B$300,A5)</f>
        <v>7</v>
      </c>
      <c r="D5" s="9" t="n">
        <f aca="false">COUNTIFS('Test slučajevi'!$B$2:$B$300,A5,'Test slučajevi'!$E$2:$E$300,"Pozitivan")</f>
        <v>3</v>
      </c>
      <c r="E5" s="9" t="n">
        <f aca="false">COUNTIFS('Test slučajevi'!$B$2:$B$300,A5,'Test slučajevi'!$E$2:$E$300,"Negativan")</f>
        <v>2</v>
      </c>
      <c r="F5" s="9" t="n">
        <f aca="false">COUNTIFS('Test slučajevi'!$B$2:$B$300,A5,'Test slučajevi'!$E$2:$E$300,"Granični")</f>
        <v>2</v>
      </c>
      <c r="G5" s="9" t="n">
        <f aca="false">COUNTIF('Pitanja i nejasnoće'!$B$2:$B$100,A5)</f>
        <v>2</v>
      </c>
    </row>
    <row r="6" customFormat="false" ht="15" hidden="false" customHeight="false" outlineLevel="0" collapsed="false">
      <c r="A6" s="9" t="s">
        <v>215</v>
      </c>
      <c r="B6" s="5" t="s">
        <v>216</v>
      </c>
      <c r="C6" s="9" t="n">
        <f aca="false">COUNTIF('Test slučajevi'!$B$2:$B$300,A6)</f>
        <v>8</v>
      </c>
      <c r="D6" s="9" t="n">
        <f aca="false">COUNTIFS('Test slučajevi'!$B$2:$B$300,A6,'Test slučajevi'!$E$2:$E$300,"Pozitivan")</f>
        <v>5</v>
      </c>
      <c r="E6" s="9" t="n">
        <f aca="false">COUNTIFS('Test slučajevi'!$B$2:$B$300,A6,'Test slučajevi'!$E$2:$E$300,"Negativan")</f>
        <v>2</v>
      </c>
      <c r="F6" s="9" t="n">
        <f aca="false">COUNTIFS('Test slučajevi'!$B$2:$B$300,A6,'Test slučajevi'!$E$2:$E$300,"Granični")</f>
        <v>1</v>
      </c>
      <c r="G6" s="9" t="n">
        <f aca="false">COUNTIF('Pitanja i nejasnoće'!$B$2:$B$100,A6)</f>
        <v>2</v>
      </c>
    </row>
    <row r="7" customFormat="false" ht="15" hidden="false" customHeight="false" outlineLevel="0" collapsed="false">
      <c r="A7" s="10" t="s">
        <v>305</v>
      </c>
      <c r="B7" s="3"/>
      <c r="C7" s="10" t="n">
        <f aca="false">SUM(C2:C6)</f>
        <v>33</v>
      </c>
      <c r="D7" s="10" t="n">
        <f aca="false">SUM(D2:D6)</f>
        <v>17</v>
      </c>
      <c r="E7" s="10" t="n">
        <f aca="false">SUM(E2:E6)</f>
        <v>10</v>
      </c>
      <c r="F7" s="10" t="n">
        <f aca="false">SUM(F2:F6)</f>
        <v>6</v>
      </c>
      <c r="G7" s="10" t="n">
        <f aca="false">SUM(G2:G6)</f>
        <v>8</v>
      </c>
    </row>
    <row r="9" customFormat="false" ht="15" hidden="false" customHeight="false" outlineLevel="0" collapsed="false">
      <c r="A9" s="11" t="s">
        <v>306</v>
      </c>
    </row>
    <row r="10" customFormat="false" ht="15" hidden="false" customHeight="false" outlineLevel="0" collapsed="false">
      <c r="A10" s="11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52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8" t="s">
        <v>53</v>
      </c>
      <c r="B1" s="8" t="s">
        <v>308</v>
      </c>
      <c r="C1" s="8" t="s">
        <v>309</v>
      </c>
      <c r="D1" s="8" t="s">
        <v>310</v>
      </c>
      <c r="E1" s="8" t="s">
        <v>311</v>
      </c>
      <c r="F1" s="8" t="s">
        <v>4</v>
      </c>
      <c r="G1" s="8" t="s">
        <v>312</v>
      </c>
    </row>
    <row r="2" customFormat="false" ht="15" hidden="false" customHeight="false" outlineLevel="0" collapsed="false">
      <c r="A2" s="9" t="s">
        <v>313</v>
      </c>
      <c r="B2" s="5" t="s">
        <v>314</v>
      </c>
      <c r="C2" s="5" t="s">
        <v>315</v>
      </c>
      <c r="D2" s="9" t="s">
        <v>19</v>
      </c>
      <c r="E2" s="5" t="s">
        <v>316</v>
      </c>
      <c r="F2" s="9" t="s">
        <v>5</v>
      </c>
      <c r="G2" s="5" t="s">
        <v>317</v>
      </c>
    </row>
    <row r="3" customFormat="false" ht="15" hidden="false" customHeight="false" outlineLevel="0" collapsed="false">
      <c r="A3" s="9" t="s">
        <v>318</v>
      </c>
      <c r="B3" s="5" t="s">
        <v>319</v>
      </c>
      <c r="C3" s="5" t="s">
        <v>320</v>
      </c>
      <c r="D3" s="9" t="s">
        <v>19</v>
      </c>
      <c r="E3" s="5" t="s">
        <v>321</v>
      </c>
      <c r="F3" s="9" t="s">
        <v>5</v>
      </c>
      <c r="G3" s="5" t="s">
        <v>317</v>
      </c>
    </row>
    <row r="4" customFormat="false" ht="46.25" hidden="false" customHeight="false" outlineLevel="0" collapsed="false">
      <c r="A4" s="9" t="s">
        <v>322</v>
      </c>
      <c r="B4" s="5" t="s">
        <v>323</v>
      </c>
      <c r="C4" s="5" t="s">
        <v>324</v>
      </c>
      <c r="D4" s="9" t="s">
        <v>20</v>
      </c>
      <c r="E4" s="5" t="s">
        <v>325</v>
      </c>
      <c r="F4" s="9" t="s">
        <v>5</v>
      </c>
      <c r="G4" s="5" t="s">
        <v>326</v>
      </c>
    </row>
    <row r="5" customFormat="false" ht="35.05" hidden="false" customHeight="false" outlineLevel="0" collapsed="false">
      <c r="A5" s="9" t="s">
        <v>327</v>
      </c>
      <c r="B5" s="5" t="s">
        <v>328</v>
      </c>
      <c r="C5" s="5" t="s">
        <v>329</v>
      </c>
      <c r="D5" s="9" t="s">
        <v>62</v>
      </c>
      <c r="E5" s="5" t="s">
        <v>330</v>
      </c>
      <c r="F5" s="9" t="s">
        <v>5</v>
      </c>
      <c r="G5" s="5" t="s">
        <v>331</v>
      </c>
    </row>
    <row r="6" customFormat="false" ht="23.85" hidden="false" customHeight="false" outlineLevel="0" collapsed="false">
      <c r="A6" s="9" t="s">
        <v>332</v>
      </c>
      <c r="B6" s="5" t="s">
        <v>333</v>
      </c>
      <c r="C6" s="5" t="s">
        <v>334</v>
      </c>
      <c r="D6" s="9" t="s">
        <v>19</v>
      </c>
      <c r="E6" s="5" t="s">
        <v>335</v>
      </c>
      <c r="F6" s="9" t="s">
        <v>336</v>
      </c>
      <c r="G6" s="5" t="s">
        <v>317</v>
      </c>
    </row>
    <row r="7" customFormat="false" ht="23.85" hidden="false" customHeight="false" outlineLevel="0" collapsed="false">
      <c r="A7" s="9" t="s">
        <v>337</v>
      </c>
      <c r="B7" s="5" t="s">
        <v>338</v>
      </c>
      <c r="C7" s="5" t="s">
        <v>339</v>
      </c>
      <c r="D7" s="9" t="s">
        <v>20</v>
      </c>
      <c r="E7" s="5" t="s">
        <v>340</v>
      </c>
      <c r="F7" s="9" t="s">
        <v>336</v>
      </c>
      <c r="G7" s="5" t="s">
        <v>341</v>
      </c>
    </row>
    <row r="8" customFormat="false" ht="23.85" hidden="false" customHeight="false" outlineLevel="0" collapsed="false">
      <c r="A8" s="9" t="s">
        <v>342</v>
      </c>
      <c r="B8" s="5" t="s">
        <v>343</v>
      </c>
      <c r="C8" s="5" t="s">
        <v>344</v>
      </c>
      <c r="D8" s="9" t="s">
        <v>19</v>
      </c>
      <c r="E8" s="5" t="s">
        <v>345</v>
      </c>
      <c r="F8" s="9" t="s">
        <v>346</v>
      </c>
      <c r="G8" s="5" t="s">
        <v>347</v>
      </c>
    </row>
    <row r="9" customFormat="false" ht="23.85" hidden="false" customHeight="false" outlineLevel="0" collapsed="false">
      <c r="A9" s="9" t="s">
        <v>348</v>
      </c>
      <c r="B9" s="5" t="s">
        <v>349</v>
      </c>
      <c r="C9" s="5" t="s">
        <v>350</v>
      </c>
      <c r="D9" s="9" t="s">
        <v>351</v>
      </c>
      <c r="E9" s="5" t="s">
        <v>352</v>
      </c>
      <c r="F9" s="9" t="s">
        <v>5</v>
      </c>
      <c r="G9" s="5" t="s">
        <v>353</v>
      </c>
    </row>
    <row r="10" customFormat="false" ht="35.05" hidden="false" customHeight="false" outlineLevel="0" collapsed="false">
      <c r="A10" s="9" t="s">
        <v>354</v>
      </c>
      <c r="B10" s="5" t="s">
        <v>355</v>
      </c>
      <c r="C10" s="5" t="s">
        <v>356</v>
      </c>
      <c r="D10" s="9" t="s">
        <v>62</v>
      </c>
      <c r="E10" s="5" t="s">
        <v>357</v>
      </c>
      <c r="F10" s="9" t="s">
        <v>336</v>
      </c>
      <c r="G10" s="5" t="s">
        <v>358</v>
      </c>
    </row>
  </sheetData>
  <autoFilter ref="A1:G10"/>
  <conditionalFormatting sqref="D2:D100">
    <cfRule type="cellIs" priority="2" operator="equal" aboveAverage="0" equalAverage="0" bottom="0" percent="0" rank="0" text="" dxfId="5">
      <formula>"Prošao"</formula>
    </cfRule>
    <cfRule type="cellIs" priority="3" operator="equal" aboveAverage="0" equalAverage="0" bottom="0" percent="0" rank="0" text="" dxfId="6">
      <formula>"Pao"</formula>
    </cfRule>
    <cfRule type="cellIs" priority="4" operator="equal" aboveAverage="0" equalAverage="0" bottom="0" percent="0" rank="0" text="" dxfId="14">
      <formula>"Očekivano ponašanje"</formula>
    </cfRule>
    <cfRule type="cellIs" priority="5" operator="equal" aboveAverage="0" equalAverage="0" bottom="0" percent="0" rank="0" text="" dxfId="7">
      <formula>"Napomena"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2026-10-29T09:35:53Z</dcterms:created>
  <dc:creator>openpyxl</dc:creator>
  <dc:description/>
  <dc:language>en-US</dc:language>
  <cp:lastModifiedBy/>
  <dcterms:modified xsi:type="dcterms:W3CDTF">2026-10-29T09:35:53Z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